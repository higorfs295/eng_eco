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_rels/drawing1.xml.rels" ContentType="application/vnd.openxmlformats-package.relationship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enu" sheetId="1" state="visible" r:id="rId3"/>
    <sheet name="Premissas" sheetId="2" state="visible" r:id="rId4"/>
    <sheet name="Glossário" sheetId="3" state="visible" r:id="rId5"/>
    <sheet name="Modelos (base)" sheetId="4" state="visible" r:id="rId6"/>
    <sheet name="ROI do Cliente" sheetId="5" state="visible" r:id="rId7"/>
    <sheet name="Unit Economics" sheetId="6" state="visible" r:id="rId8"/>
    <sheet name="Sensibilidade 2D" sheetId="7" state="visible" r:id="rId9"/>
    <sheet name="Dashboard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3" authorId="0">
      <text>
        <r>
          <rPr>
            <sz val="10"/>
            <rFont val="Arial"/>
            <family val="2"/>
          </rPr>
          <t xml:space="preserve">Selic 14,5% + prêmio de risco (venture).</t>
        </r>
      </text>
    </comment>
    <comment ref="B4" authorId="0">
      <text>
        <r>
          <rPr>
            <sz val="10"/>
            <rFont val="Arial"/>
            <family val="2"/>
          </rPr>
          <t xml:space="preserve">Selic, Copom 29/04/2026 — reconfirmar.</t>
        </r>
      </text>
    </comment>
    <comment ref="B18" authorId="0">
      <text>
        <r>
          <rPr>
            <sz val="10"/>
            <rFont val="Arial"/>
            <family val="2"/>
          </rPr>
          <t xml:space="preserve">Grãos. PREMISSA — varia por cultura/região.</t>
        </r>
      </text>
    </comment>
    <comment ref="B19" authorId="0">
      <text>
        <r>
          <rPr>
            <sz val="10"/>
            <rFont val="Arial"/>
            <family val="2"/>
          </rPr>
          <t xml:space="preserve">Detecção precoce. PREMISSA conservadora — medir em piloto.</t>
        </r>
      </text>
    </comment>
    <comment ref="B21" authorId="0">
      <text>
        <r>
          <rPr>
            <sz val="10"/>
            <rFont val="Arial"/>
            <family val="2"/>
          </rPr>
          <t xml:space="preserve">Taxa variável. PREMISSA.</t>
        </r>
      </text>
    </comment>
    <comment ref="B23" authorId="0">
      <text>
        <r>
          <rPr>
            <sz val="10"/>
            <rFont val="Arial"/>
            <family val="2"/>
          </rPr>
          <t xml:space="preserve">Vendas B2B agro. PREMISSA.</t>
        </r>
      </text>
    </comment>
    <comment ref="B24" authorId="0">
      <text>
        <r>
          <rPr>
            <sz val="10"/>
            <rFont val="Arial"/>
            <family val="2"/>
          </rPr>
          <t xml:space="preserve">PREMISSA — vida média = 1/churn.</t>
        </r>
      </text>
    </comment>
    <comment ref="C28" authorId="0">
      <text>
        <r>
          <rPr>
            <sz val="10"/>
            <rFont val="Arial"/>
            <family val="2"/>
          </rPr>
          <t xml:space="preserve">Curva de adoção — variável crítica.</t>
        </r>
      </text>
    </comment>
  </commentList>
</comments>
</file>

<file path=xl/sharedStrings.xml><?xml version="1.0" encoding="utf-8"?>
<sst xmlns="http://schemas.openxmlformats.org/spreadsheetml/2006/main" count="163" uniqueCount="143">
  <si>
    <t xml:space="preserve">PROJETO — ANÁLISE ECONÔMICA AMPLIADA  ·  Plataforma de Monitoramento Rural (IA · Drones · IoT)</t>
  </si>
  <si>
    <t xml:space="preserve">Disciplina: Engenharia Econômica — UFG / Escola de Engenharia Elétrica, Mecânica e de Computação (EMC)</t>
  </si>
  <si>
    <t xml:space="preserve">Equipe: Higor · Gustavo Mota · Matheus</t>
  </si>
  <si>
    <t xml:space="preserve">Data: ____/____/2026   |   Produto (nome a definir)</t>
  </si>
  <si>
    <t xml:space="preserve">O que é esta pasta de trabalho</t>
  </si>
  <si>
    <t xml:space="preserve">Complementa o modelo financeiro base com perspectivas mais amplas do negócio: o retorno para o CLIENTE (vender benefício antes do produto), as métricas de negócio (CAC, LTV), a sensibilidade em duas dimensões, a comparação por Valor Anual Uniforme Equivalente (VAUE) e um painel-resumo. Todas as células AZUIS são editáveis e tudo recalcula automaticamente. Os números são premissas conferidas matematicamente — não dados de mercado verificados.</t>
  </si>
  <si>
    <t xml:space="preserve">Navegação</t>
  </si>
  <si>
    <t xml:space="preserve">Todas as variáveis editáveis (azul) e premissas-chave (amarelo).</t>
  </si>
  <si>
    <t xml:space="preserve">O que cada indicador mede e a regra de decisão (TMA, VPL, TIR, VAUE, IBC, ROIA, CAC, LTV).</t>
  </si>
  <si>
    <t xml:space="preserve">Os 3 modelos de receita: fluxo, VPL, TIR, VAUE, IBC, ROIA.</t>
  </si>
  <si>
    <t xml:space="preserve">Quanto o PRODUTOR economiza por hectare e em quanto tempo — o benefício que vende o produto.</t>
  </si>
  <si>
    <t xml:space="preserve">Saúde do negócio: CAC, LTV, LTV/CAC, payback do CAC, vida média do cliente.</t>
  </si>
  <si>
    <t xml:space="preserve">VPL do modelo recomendado (C) cruzando preço × adoção — onde fica inviável.</t>
  </si>
  <si>
    <t xml:space="preserve">Resumo executivo de uma olhada, com gráfico.</t>
  </si>
  <si>
    <t xml:space="preserve">Legenda:  Azul = você edita   |   Preto = fórmula   |   Verde = link entre abas   |   Amarelo = premissa-chave</t>
  </si>
  <si>
    <t xml:space="preserve">Aviso: números financeiros = premissas conferidas (Python+Excel), não dados verificados. Reconfirme a Selic e colete dados reais antes da entrega.</t>
  </si>
  <si>
    <t xml:space="preserve">PREMISSAS — edite as células AZUIS (amarelas = mais sensíveis)</t>
  </si>
  <si>
    <t xml:space="preserve">— Negócio / modelos de receita —</t>
  </si>
  <si>
    <t xml:space="preserve">TMA recomendada (a.a.)</t>
  </si>
  <si>
    <t xml:space="preserve">TMA piso = Selic (a.a.)</t>
  </si>
  <si>
    <t xml:space="preserve">TMA estresse (a.a.)</t>
  </si>
  <si>
    <t xml:space="preserve">Investimento Ano 0 (R$)</t>
  </si>
  <si>
    <t xml:space="preserve">Fazenda média (ha/cliente)</t>
  </si>
  <si>
    <t xml:space="preserve">A) SaaS — preço (R$/ha/ano)</t>
  </si>
  <si>
    <t xml:space="preserve">A) SaaS — custo variável (%)</t>
  </si>
  <si>
    <t xml:space="preserve">B) DaaS — preço (R$/ha/ano)</t>
  </si>
  <si>
    <t xml:space="preserve">B) DaaS — capacidade (ha/unid.)</t>
  </si>
  <si>
    <t xml:space="preserve">B) DaaS — CAPEX (R$/unidade)</t>
  </si>
  <si>
    <t xml:space="preserve">B) DaaS — custo variável (%)</t>
  </si>
  <si>
    <t xml:space="preserve">C) Híbrido — preço (R$/ha/ano)</t>
  </si>
  <si>
    <t xml:space="preserve">C) Híbrido — implantação (R$/cliente)</t>
  </si>
  <si>
    <t xml:space="preserve">C) Híbrido — custo variável (%)</t>
  </si>
  <si>
    <t xml:space="preserve">— Benefício para o cliente (produtor) —</t>
  </si>
  <si>
    <t xml:space="preserve">Receita bruta do produtor (R$/ha/ano)</t>
  </si>
  <si>
    <t xml:space="preserve">% da perda de safra evitada</t>
  </si>
  <si>
    <t xml:space="preserve">Gasto com insumos (R$/ha/ano)</t>
  </si>
  <si>
    <t xml:space="preserve">% de economia em insumos (VRT)</t>
  </si>
  <si>
    <t xml:space="preserve">— Unit economics (negócio) —</t>
  </si>
  <si>
    <t xml:space="preserve">CAC — custo de aquisição (R$/cliente)</t>
  </si>
  <si>
    <t xml:space="preserve">Churn anual (% de clientes/ano)</t>
  </si>
  <si>
    <t xml:space="preserve">Série anual</t>
  </si>
  <si>
    <t xml:space="preserve">Ano 1</t>
  </si>
  <si>
    <t xml:space="preserve">Ano 2</t>
  </si>
  <si>
    <t xml:space="preserve">Ano 3</t>
  </si>
  <si>
    <t xml:space="preserve">Ano 4</t>
  </si>
  <si>
    <t xml:space="preserve">Ano 5</t>
  </si>
  <si>
    <t xml:space="preserve">Hectares ativos (acum.)</t>
  </si>
  <si>
    <t xml:space="preserve">Hectares novos no ano</t>
  </si>
  <si>
    <t xml:space="preserve">Custo fixo base A/C (R$)</t>
  </si>
  <si>
    <t xml:space="preserve">Custo fixo DaaS B (R$)</t>
  </si>
  <si>
    <t xml:space="preserve">GLOSSÁRIO — o que cada indicador mede</t>
  </si>
  <si>
    <t xml:space="preserve">Indicador</t>
  </si>
  <si>
    <t xml:space="preserve">O que mede</t>
  </si>
  <si>
    <t xml:space="preserve">Regra de decisão</t>
  </si>
  <si>
    <t xml:space="preserve">TMA</t>
  </si>
  <si>
    <t xml:space="preserve">Custo de oportunidade — a melhor aplicação de baixo risco</t>
  </si>
  <si>
    <t xml:space="preserve">Taxa usada para descontar o futuro</t>
  </si>
  <si>
    <t xml:space="preserve">VPL</t>
  </si>
  <si>
    <t xml:space="preserve">Riqueza criada hoje, já descontada a TMA</t>
  </si>
  <si>
    <t xml:space="preserve">Viável se VPL &gt; 0</t>
  </si>
  <si>
    <t xml:space="preserve">TIR</t>
  </si>
  <si>
    <t xml:space="preserve">Taxa que zera o VPL (rentabilidade intrínseca)</t>
  </si>
  <si>
    <t xml:space="preserve">Atrativo se TIR &gt; TMA</t>
  </si>
  <si>
    <t xml:space="preserve">VAUE / VPLa</t>
  </si>
  <si>
    <t xml:space="preserve">O VPL transformado em parcela anual equivalente</t>
  </si>
  <si>
    <t xml:space="preserve">Maior VAUE = melhor alternativa</t>
  </si>
  <si>
    <t xml:space="preserve">Payback simples</t>
  </si>
  <si>
    <t xml:space="preserve">Tempo para recuperar o capital (sem desconto)</t>
  </si>
  <si>
    <t xml:space="preserve">Quanto menor, melhor</t>
  </si>
  <si>
    <t xml:space="preserve">Payback descontado</t>
  </si>
  <si>
    <t xml:space="preserve">Tempo para recuperar já pagando a TMA</t>
  </si>
  <si>
    <t xml:space="preserve">Início real da criação de valor</t>
  </si>
  <si>
    <t xml:space="preserve">IBC</t>
  </si>
  <si>
    <t xml:space="preserve">Valor presente dos benefícios ÷ investimento</t>
  </si>
  <si>
    <t xml:space="preserve">Cria valor se IBC &gt; 1</t>
  </si>
  <si>
    <t xml:space="preserve">ROIA</t>
  </si>
  <si>
    <t xml:space="preserve">Ganho percentual real acima da TMA</t>
  </si>
  <si>
    <t xml:space="preserve">Quanto maior, melhor</t>
  </si>
  <si>
    <t xml:space="preserve">CAC</t>
  </si>
  <si>
    <t xml:space="preserve">Custo de adquirir um cliente</t>
  </si>
  <si>
    <t xml:space="preserve">Saudável se LTV/CAC &gt; 3</t>
  </si>
  <si>
    <t xml:space="preserve">LTV</t>
  </si>
  <si>
    <t xml:space="preserve">Valor que um cliente gera ao longo da relação</t>
  </si>
  <si>
    <t xml:space="preserve">LTV/CAC</t>
  </si>
  <si>
    <t xml:space="preserve">Quantas vezes o cliente paga o custo de adquiri-lo</t>
  </si>
  <si>
    <t xml:space="preserve">&gt;3 bom; &gt;5 excelente</t>
  </si>
  <si>
    <t xml:space="preserve">Payback do CAC</t>
  </si>
  <si>
    <t xml:space="preserve">Meses para o cliente repagar seu custo de aquisição</t>
  </si>
  <si>
    <t xml:space="preserve">MODELOS DE RECEITA — fluxo e indicadores (recalculados das Premissas)</t>
  </si>
  <si>
    <t xml:space="preserve">Modelo A — SaaS asset-light</t>
  </si>
  <si>
    <t xml:space="preserve">Ano</t>
  </si>
  <si>
    <t xml:space="preserve">Fluxo de caixa (R$)</t>
  </si>
  <si>
    <t xml:space="preserve">VAUE (R$/ano)</t>
  </si>
  <si>
    <t xml:space="preserve">Modelo B — DaaS frota própria</t>
  </si>
  <si>
    <t xml:space="preserve">Modelo C — Híbrido (recomendado)</t>
  </si>
  <si>
    <t xml:space="preserve">VPL: A=K4  B=K12  C=K20 (usadas no Dashboard). VAUE compara alternativas em base anual equivalente.</t>
  </si>
  <si>
    <t xml:space="preserve">ROI DO CLIENTE — o benefício que vende o produto (perfil editável)</t>
  </si>
  <si>
    <t xml:space="preserve">Vender benefício antes do produto: o que o PRODUTOR ganha por hectare, e em quanto tempo se paga.</t>
  </si>
  <si>
    <t xml:space="preserve">Área da fazenda (ha)</t>
  </si>
  <si>
    <t xml:space="preserve">Benefício: perda de safra evitada (R$/ha)</t>
  </si>
  <si>
    <t xml:space="preserve">Benefício: economia de insumos (R$/ha)</t>
  </si>
  <si>
    <t xml:space="preserve">Benefício bruto para o produtor (R$/ha)</t>
  </si>
  <si>
    <t xml:space="preserve">Nossa tarifa (R$/ha/ano)</t>
  </si>
  <si>
    <t xml:space="preserve">Benefício líquido p/ o produtor (R$/ha)</t>
  </si>
  <si>
    <t xml:space="preserve">Benefício bruto total (R$/ano)</t>
  </si>
  <si>
    <t xml:space="preserve">Custo p/ o produtor no Ano 1 (R$)</t>
  </si>
  <si>
    <t xml:space="preserve">Retorno p/ o produtor (× sobre o custo)</t>
  </si>
  <si>
    <t xml:space="preserve">Payback do produtor (meses)</t>
  </si>
  <si>
    <t xml:space="preserve">Leitura: a tarifa por hectare (R$ 22) é minúscula perto da receita (R$ 7.000/ha) e do gasto com insumos (R$ 3.500/ha).</t>
  </si>
  <si>
    <t xml:space="preserve">Por isso, qualquer ganho percentual modesto já paga o serviço muitas vezes. Edite os % na aba Premissas para calibrar.</t>
  </si>
  <si>
    <t xml:space="preserve">ATENÇÃO: os percentuais de benefício são PREMISSAS. Precisam ser medidos num piloto real antes de virar promessa de venda.</t>
  </si>
  <si>
    <t xml:space="preserve">UNIT ECONOMICS — saúde do negócio por cliente</t>
  </si>
  <si>
    <t xml:space="preserve">Receita por cliente/ano (R$)</t>
  </si>
  <si>
    <t xml:space="preserve">Margem de contribuição (%)</t>
  </si>
  <si>
    <t xml:space="preserve">Contribuição por cliente/ano (R$)</t>
  </si>
  <si>
    <t xml:space="preserve">Churn anual (%)</t>
  </si>
  <si>
    <t xml:space="preserve">Vida média do cliente (anos)</t>
  </si>
  <si>
    <t xml:space="preserve">LTV — valor do cliente (R$)</t>
  </si>
  <si>
    <t xml:space="preserve">CAC — custo de aquisição (R$)</t>
  </si>
  <si>
    <t xml:space="preserve">LTV / CAC (×)</t>
  </si>
  <si>
    <t xml:space="preserve">Payback do CAC (meses)</t>
  </si>
  <si>
    <t xml:space="preserve">Implantação capturada no Ano 1 (R$)</t>
  </si>
  <si>
    <t xml:space="preserve">Referência de mercado: LTV/CAC acima de 3 é saudável; payback do CAC abaixo de 12 meses é muito bom.</t>
  </si>
  <si>
    <t xml:space="preserve">Valores são premissas (CAC e churn sobretudo). Calibre na aba Premissas.</t>
  </si>
  <si>
    <t xml:space="preserve">SENSIBILIDADE 2D — VPL do modelo C (recomendado) · preço × adoção</t>
  </si>
  <si>
    <t xml:space="preserve">Linhas = multiplicador de ADOÇÃO de hectares.  Colunas = multiplicador de PREÇO.  Célula = VPL do modelo C à TMA recomendada.</t>
  </si>
  <si>
    <t xml:space="preserve">Adoção \ Preço</t>
  </si>
  <si>
    <t xml:space="preserve">Vermelho = VPL negativo (inviável). Verde = viável. O joelho da curva mostra a margem de segurança da adoção.</t>
  </si>
  <si>
    <t xml:space="preserve">DASHBOARD — resumo executivo</t>
  </si>
  <si>
    <t xml:space="preserve">Modelo recomendado: C (Híbrido)</t>
  </si>
  <si>
    <t xml:space="preserve">Modelo</t>
  </si>
  <si>
    <t xml:space="preserve">VPL (R$)</t>
  </si>
  <si>
    <t xml:space="preserve">VPL do modelo C (R$)</t>
  </si>
  <si>
    <t xml:space="preserve">A) SaaS</t>
  </si>
  <si>
    <t xml:space="preserve">TIR do modelo C</t>
  </si>
  <si>
    <t xml:space="preserve">B) DaaS</t>
  </si>
  <si>
    <t xml:space="preserve">VAUE do modelo C (R$/ano)</t>
  </si>
  <si>
    <t xml:space="preserve">C) Híbrido</t>
  </si>
  <si>
    <t xml:space="preserve">Retorno para o cliente (×)</t>
  </si>
  <si>
    <t xml:space="preserve">Payback do cliente (meses)</t>
  </si>
  <si>
    <t xml:space="preserve">LTV / CAC</t>
  </si>
  <si>
    <t xml:space="preserve">Tese: o modelo C cria mais valor (VPL/VAUE) e tem o melhor payback; o cliente ganha múltiplas vezes o que paga.</t>
  </si>
  <si>
    <t xml:space="preserve">Números são premissas conferidas, não dados verificados — ver Menu.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</si>
</sst>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%"/>
    <numFmt numFmtId="166" formatCode="&quot;R$ &quot;#,##0;&quot;(R$ &quot;#,##0\);\-"/>
    <numFmt numFmtId="167" formatCode="#,##0"/>
    <numFmt numFmtId="168" formatCode="&quot;R$ &quot;#,##0.00;&quot;(R$ &quot;#,##0.00\);\-"/>
    <numFmt numFmtId="169" formatCode="0.00%"/>
    <numFmt numFmtId="170" formatCode="0.00"/>
    <numFmt numFmtId="171" formatCode="0.00\x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555555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2E5A2E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0"/>
      <name val="Arial"/>
      <family val="2"/>
    </font>
    <font>
      <sz val="11"/>
      <color rgb="FF008000"/>
      <name val="Arial"/>
      <family val="0"/>
      <charset val="1"/>
    </font>
    <font>
      <i val="true"/>
      <sz val="11"/>
      <color rgb="FFB23A3A"/>
      <name val="Arial"/>
      <family val="0"/>
      <charset val="1"/>
    </font>
    <font>
      <b val="true"/>
      <sz val="12"/>
      <color rgb="FF2E5A2E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2E5A2E"/>
        <bgColor rgb="FF555555"/>
      </patternFill>
    </fill>
    <fill>
      <patternFill patternType="solid">
        <fgColor rgb="FF4F7942"/>
        <bgColor rgb="FF555555"/>
      </patternFill>
    </fill>
    <fill>
      <patternFill patternType="solid">
        <fgColor rgb="FFFFFF00"/>
        <bgColor rgb="FFFFFF00"/>
      </patternFill>
    </fill>
    <fill>
      <patternFill patternType="solid">
        <fgColor rgb="FFEAF1EA"/>
        <bgColor rgb="FFDBEAD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F6D9D6"/>
        </patternFill>
      </fill>
    </dxf>
    <dxf>
      <fill>
        <patternFill>
          <bgColor rgb="FFDBEAD2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78787"/>
      <rgbColor rgb="FF9999FF"/>
      <rgbColor rgb="FFB23A3A"/>
      <rgbColor rgb="FFEAF1EA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BEAD2"/>
      <rgbColor rgb="FFFFFF99"/>
      <rgbColor rgb="FF99CCFF"/>
      <rgbColor rgb="FFFF99CC"/>
      <rgbColor rgb="FFCC99FF"/>
      <rgbColor rgb="FFF6D9D6"/>
      <rgbColor rgb="FF3366FF"/>
      <rgbColor rgb="FF33CCCC"/>
      <rgbColor rgb="FF99CC00"/>
      <rgbColor rgb="FFFFCC00"/>
      <rgbColor rgb="FFFF9900"/>
      <rgbColor rgb="FFFF6600"/>
      <rgbColor rgb="FF4F81BD"/>
      <rgbColor rgb="FF969696"/>
      <rgbColor rgb="FF003366"/>
      <rgbColor rgb="FF4F7942"/>
      <rgbColor rgb="FF003300"/>
      <rgbColor rgb="FF333300"/>
      <rgbColor rgb="FF993300"/>
      <rgbColor rgb="FF993366"/>
      <rgbColor rgb="FF555555"/>
      <rgbColor rgb="FF2E5A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VPL por modelo (TMA recomendada)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Dashboard!E4</c:f>
              <c:strCache>
                <c:ptCount val="1"/>
                <c:pt idx="0">
                  <c:v>VPL (R$)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Dashboard!$D$5:$D$7</c:f>
              <c:strCache>
                <c:ptCount val="3"/>
                <c:pt idx="0">
                  <c:v>A) SaaS</c:v>
                </c:pt>
                <c:pt idx="1">
                  <c:v>B) DaaS</c:v>
                </c:pt>
                <c:pt idx="2">
                  <c:v>C) Híbrido</c:v>
                </c:pt>
              </c:strCache>
            </c:strRef>
          </c:cat>
          <c:val>
            <c:numRef>
              <c:f>Dashboard!$E$5:$E$7</c:f>
              <c:numCache>
                <c:formatCode>"R$ "#,##0;"(R$ "#,##0\);\-</c:formatCode>
                <c:ptCount val="3"/>
                <c:pt idx="0">
                  <c:v>2788868.95576132</c:v>
                </c:pt>
                <c:pt idx="1">
                  <c:v>431689.814814817</c:v>
                </c:pt>
                <c:pt idx="2">
                  <c:v>2937890.51783265</c:v>
                </c:pt>
              </c:numCache>
            </c:numRef>
          </c:val>
        </c:ser>
        <c:gapWidth val="150"/>
        <c:overlap val="0"/>
        <c:axId val="73680489"/>
        <c:axId val="99349088"/>
      </c:barChart>
      <c:catAx>
        <c:axId val="7368048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9349088"/>
        <c:crosses val="autoZero"/>
        <c:auto val="1"/>
        <c:lblAlgn val="ctr"/>
        <c:lblOffset val="100"/>
        <c:noMultiLvlLbl val="0"/>
      </c:catAx>
      <c:valAx>
        <c:axId val="9934908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R$ &quot;#,##0;&quot;(R$ 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368048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0</xdr:colOff>
      <xdr:row>8</xdr:row>
      <xdr:rowOff>0</xdr:rowOff>
    </xdr:from>
    <xdr:to>
      <xdr:col>8</xdr:col>
      <xdr:colOff>441000</xdr:colOff>
      <xdr:row>21</xdr:row>
      <xdr:rowOff>42840</xdr:rowOff>
    </xdr:to>
    <xdr:graphicFrame>
      <xdr:nvGraphicFramePr>
        <xdr:cNvPr id="0" name="Chart 1"/>
        <xdr:cNvGraphicFramePr/>
      </xdr:nvGraphicFramePr>
      <xdr:xfrm>
        <a:off x="4276800" y="1609560"/>
        <a:ext cx="431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6" min="2" style="0" width="16"/>
  </cols>
  <sheetData>
    <row r="1" customFormat="false" ht="21.75" hidden="false" customHeight="true" outlineLevel="0" collapsed="false">
      <c r="A1" s="1" t="s">
        <v>0</v>
      </c>
      <c r="B1" s="1"/>
      <c r="C1" s="1"/>
      <c r="D1" s="1"/>
      <c r="E1" s="1"/>
      <c r="F1" s="1"/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3" t="s">
        <v>3</v>
      </c>
    </row>
    <row r="7" customFormat="false" ht="15" hidden="false" customHeight="false" outlineLevel="0" collapsed="false">
      <c r="A7" s="4" t="s">
        <v>4</v>
      </c>
      <c r="B7" s="4"/>
      <c r="C7" s="4"/>
      <c r="D7" s="4"/>
      <c r="E7" s="4"/>
      <c r="F7" s="4"/>
    </row>
    <row r="8" customFormat="false" ht="15" hidden="false" customHeight="true" outlineLevel="0" collapsed="false">
      <c r="A8" s="5" t="s">
        <v>5</v>
      </c>
      <c r="B8" s="5"/>
      <c r="C8" s="5"/>
      <c r="D8" s="5"/>
      <c r="E8" s="5"/>
      <c r="F8" s="5"/>
    </row>
    <row r="9" customFormat="false" ht="15" hidden="false" customHeight="false" outlineLevel="0" collapsed="false">
      <c r="A9" s="5"/>
      <c r="B9" s="5"/>
      <c r="C9" s="5"/>
      <c r="D9" s="5"/>
      <c r="E9" s="5"/>
      <c r="F9" s="5"/>
    </row>
    <row r="10" customFormat="false" ht="15" hidden="false" customHeight="false" outlineLevel="0" collapsed="false">
      <c r="A10" s="5"/>
      <c r="B10" s="5"/>
      <c r="C10" s="5"/>
      <c r="D10" s="5"/>
      <c r="E10" s="5"/>
      <c r="F10" s="5"/>
    </row>
    <row r="11" customFormat="false" ht="15" hidden="false" customHeight="false" outlineLevel="0" collapsed="false">
      <c r="A11" s="5"/>
      <c r="B11" s="5"/>
      <c r="C11" s="5"/>
      <c r="D11" s="5"/>
      <c r="E11" s="5"/>
      <c r="F11" s="5"/>
    </row>
    <row r="13" customFormat="false" ht="15" hidden="false" customHeight="false" outlineLevel="0" collapsed="false">
      <c r="A13" s="4" t="s">
        <v>6</v>
      </c>
      <c r="B13" s="4"/>
      <c r="C13" s="4"/>
      <c r="D13" s="4"/>
      <c r="E13" s="4"/>
      <c r="F13" s="4"/>
    </row>
    <row r="14" customFormat="false" ht="30" hidden="false" customHeight="true" outlineLevel="0" collapsed="false">
      <c r="A14" s="6" t="str">
        <f aca="false">HYPERLINK("#'Premissas'!A1","▶ Premissas")</f>
        <v>▶ Premissas</v>
      </c>
      <c r="B14" s="7" t="s">
        <v>7</v>
      </c>
      <c r="C14" s="7"/>
      <c r="D14" s="7"/>
      <c r="E14" s="7"/>
      <c r="F14" s="7"/>
    </row>
    <row r="15" customFormat="false" ht="30" hidden="false" customHeight="true" outlineLevel="0" collapsed="false">
      <c r="A15" s="6" t="str">
        <f aca="false">HYPERLINK("#'Glossário'!A1","▶ Glossário")</f>
        <v>▶ Glossário</v>
      </c>
      <c r="B15" s="7" t="s">
        <v>8</v>
      </c>
      <c r="C15" s="7"/>
      <c r="D15" s="7"/>
      <c r="E15" s="7"/>
      <c r="F15" s="7"/>
    </row>
    <row r="16" customFormat="false" ht="30" hidden="false" customHeight="true" outlineLevel="0" collapsed="false">
      <c r="A16" s="6" t="str">
        <f aca="false">HYPERLINK("#'Modelos (base)'!A1","▶ Modelos (base)")</f>
        <v>▶ Modelos (base)</v>
      </c>
      <c r="B16" s="7" t="s">
        <v>9</v>
      </c>
      <c r="C16" s="7"/>
      <c r="D16" s="7"/>
      <c r="E16" s="7"/>
      <c r="F16" s="7"/>
    </row>
    <row r="17" customFormat="false" ht="30" hidden="false" customHeight="true" outlineLevel="0" collapsed="false">
      <c r="A17" s="6" t="str">
        <f aca="false">HYPERLINK("#'ROI do Cliente'!A1","▶ ROI do Cliente")</f>
        <v>▶ ROI do Cliente</v>
      </c>
      <c r="B17" s="7" t="s">
        <v>10</v>
      </c>
      <c r="C17" s="7"/>
      <c r="D17" s="7"/>
      <c r="E17" s="7"/>
      <c r="F17" s="7"/>
    </row>
    <row r="18" customFormat="false" ht="30" hidden="false" customHeight="true" outlineLevel="0" collapsed="false">
      <c r="A18" s="6" t="str">
        <f aca="false">HYPERLINK("#'Unit Economics'!A1","▶ Unit Economics")</f>
        <v>▶ Unit Economics</v>
      </c>
      <c r="B18" s="7" t="s">
        <v>11</v>
      </c>
      <c r="C18" s="7"/>
      <c r="D18" s="7"/>
      <c r="E18" s="7"/>
      <c r="F18" s="7"/>
    </row>
    <row r="19" customFormat="false" ht="30" hidden="false" customHeight="true" outlineLevel="0" collapsed="false">
      <c r="A19" s="6" t="str">
        <f aca="false">HYPERLINK("#'Sensibilidade 2D'!A1","▶ Sensibilidade 2D")</f>
        <v>▶ Sensibilidade 2D</v>
      </c>
      <c r="B19" s="7" t="s">
        <v>12</v>
      </c>
      <c r="C19" s="7"/>
      <c r="D19" s="7"/>
      <c r="E19" s="7"/>
      <c r="F19" s="7"/>
    </row>
    <row r="20" customFormat="false" ht="30" hidden="false" customHeight="true" outlineLevel="0" collapsed="false">
      <c r="A20" s="6" t="str">
        <f aca="false">HYPERLINK("#'Dashboard'!A1","▶ Dashboard")</f>
        <v>▶ Dashboard</v>
      </c>
      <c r="B20" s="7" t="s">
        <v>13</v>
      </c>
      <c r="C20" s="7"/>
      <c r="D20" s="7"/>
      <c r="E20" s="7"/>
      <c r="F20" s="7"/>
    </row>
    <row r="22" customFormat="false" ht="15" hidden="false" customHeight="false" outlineLevel="0" collapsed="false">
      <c r="A22" s="8" t="s">
        <v>14</v>
      </c>
    </row>
    <row r="23" customFormat="false" ht="15" hidden="false" customHeight="false" outlineLevel="0" collapsed="false">
      <c r="A23" s="8" t="s">
        <v>15</v>
      </c>
    </row>
  </sheetData>
  <mergeCells count="11">
    <mergeCell ref="A1:F1"/>
    <mergeCell ref="A7:F7"/>
    <mergeCell ref="A8:F11"/>
    <mergeCell ref="A13:F13"/>
    <mergeCell ref="B14:F14"/>
    <mergeCell ref="B15:F15"/>
    <mergeCell ref="B16:F16"/>
    <mergeCell ref="B17:F17"/>
    <mergeCell ref="B18:F18"/>
    <mergeCell ref="B19:F19"/>
    <mergeCell ref="B20:F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7" min="2" style="0" width="15"/>
  </cols>
  <sheetData>
    <row r="1" customFormat="false" ht="21.75" hidden="false" customHeight="true" outlineLevel="0" collapsed="false">
      <c r="A1" s="1" t="s">
        <v>16</v>
      </c>
      <c r="B1" s="1"/>
      <c r="C1" s="1"/>
      <c r="D1" s="1"/>
      <c r="E1" s="1"/>
      <c r="F1" s="1"/>
      <c r="G1" s="1"/>
    </row>
    <row r="2" customFormat="false" ht="15" hidden="false" customHeight="false" outlineLevel="0" collapsed="false">
      <c r="A2" s="9" t="s">
        <v>17</v>
      </c>
    </row>
    <row r="3" customFormat="false" ht="15" hidden="false" customHeight="false" outlineLevel="0" collapsed="false">
      <c r="A3" s="2" t="s">
        <v>18</v>
      </c>
      <c r="B3" s="10" t="n">
        <v>0.2</v>
      </c>
    </row>
    <row r="4" customFormat="false" ht="15" hidden="false" customHeight="false" outlineLevel="0" collapsed="false">
      <c r="A4" s="2" t="s">
        <v>19</v>
      </c>
      <c r="B4" s="11" t="n">
        <v>0.145</v>
      </c>
    </row>
    <row r="5" customFormat="false" ht="15" hidden="false" customHeight="false" outlineLevel="0" collapsed="false">
      <c r="A5" s="2" t="s">
        <v>20</v>
      </c>
      <c r="B5" s="11" t="n">
        <v>0.3</v>
      </c>
    </row>
    <row r="6" customFormat="false" ht="15" hidden="false" customHeight="false" outlineLevel="0" collapsed="false">
      <c r="A6" s="2" t="s">
        <v>21</v>
      </c>
      <c r="B6" s="12" t="n">
        <v>380000</v>
      </c>
    </row>
    <row r="7" customFormat="false" ht="15" hidden="false" customHeight="false" outlineLevel="0" collapsed="false">
      <c r="A7" s="2" t="s">
        <v>22</v>
      </c>
      <c r="B7" s="13" t="n">
        <v>3000</v>
      </c>
    </row>
    <row r="8" customFormat="false" ht="15" hidden="false" customHeight="false" outlineLevel="0" collapsed="false">
      <c r="A8" s="2" t="s">
        <v>23</v>
      </c>
      <c r="B8" s="14" t="n">
        <v>25</v>
      </c>
    </row>
    <row r="9" customFormat="false" ht="15" hidden="false" customHeight="false" outlineLevel="0" collapsed="false">
      <c r="A9" s="2" t="s">
        <v>24</v>
      </c>
      <c r="B9" s="11" t="n">
        <v>0.3</v>
      </c>
    </row>
    <row r="10" customFormat="false" ht="15" hidden="false" customHeight="false" outlineLevel="0" collapsed="false">
      <c r="A10" s="2" t="s">
        <v>25</v>
      </c>
      <c r="B10" s="14" t="n">
        <v>80</v>
      </c>
    </row>
    <row r="11" customFormat="false" ht="15" hidden="false" customHeight="false" outlineLevel="0" collapsed="false">
      <c r="A11" s="2" t="s">
        <v>26</v>
      </c>
      <c r="B11" s="13" t="n">
        <v>12000</v>
      </c>
    </row>
    <row r="12" customFormat="false" ht="15" hidden="false" customHeight="false" outlineLevel="0" collapsed="false">
      <c r="A12" s="2" t="s">
        <v>27</v>
      </c>
      <c r="B12" s="15" t="n">
        <v>120000</v>
      </c>
    </row>
    <row r="13" customFormat="false" ht="15" hidden="false" customHeight="false" outlineLevel="0" collapsed="false">
      <c r="A13" s="2" t="s">
        <v>28</v>
      </c>
      <c r="B13" s="10" t="n">
        <v>0.72</v>
      </c>
    </row>
    <row r="14" customFormat="false" ht="15" hidden="false" customHeight="false" outlineLevel="0" collapsed="false">
      <c r="A14" s="2" t="s">
        <v>29</v>
      </c>
      <c r="B14" s="14" t="n">
        <v>22</v>
      </c>
    </row>
    <row r="15" customFormat="false" ht="15" hidden="false" customHeight="false" outlineLevel="0" collapsed="false">
      <c r="A15" s="2" t="s">
        <v>30</v>
      </c>
      <c r="B15" s="12" t="n">
        <v>20000</v>
      </c>
    </row>
    <row r="16" customFormat="false" ht="15" hidden="false" customHeight="false" outlineLevel="0" collapsed="false">
      <c r="A16" s="2" t="s">
        <v>31</v>
      </c>
      <c r="B16" s="11" t="n">
        <v>0.3</v>
      </c>
    </row>
    <row r="17" customFormat="false" ht="15" hidden="false" customHeight="false" outlineLevel="0" collapsed="false">
      <c r="A17" s="9" t="s">
        <v>32</v>
      </c>
    </row>
    <row r="18" customFormat="false" ht="15" hidden="false" customHeight="false" outlineLevel="0" collapsed="false">
      <c r="A18" s="2" t="s">
        <v>33</v>
      </c>
      <c r="B18" s="12" t="n">
        <v>7000</v>
      </c>
    </row>
    <row r="19" customFormat="false" ht="15" hidden="false" customHeight="false" outlineLevel="0" collapsed="false">
      <c r="A19" s="2" t="s">
        <v>34</v>
      </c>
      <c r="B19" s="16" t="n">
        <v>0.015</v>
      </c>
    </row>
    <row r="20" customFormat="false" ht="15" hidden="false" customHeight="false" outlineLevel="0" collapsed="false">
      <c r="A20" s="2" t="s">
        <v>35</v>
      </c>
      <c r="B20" s="12" t="n">
        <v>3500</v>
      </c>
    </row>
    <row r="21" customFormat="false" ht="15" hidden="false" customHeight="false" outlineLevel="0" collapsed="false">
      <c r="A21" s="2" t="s">
        <v>36</v>
      </c>
      <c r="B21" s="16" t="n">
        <v>0.05</v>
      </c>
    </row>
    <row r="22" customFormat="false" ht="15" hidden="false" customHeight="false" outlineLevel="0" collapsed="false">
      <c r="A22" s="9" t="s">
        <v>37</v>
      </c>
    </row>
    <row r="23" customFormat="false" ht="15" hidden="false" customHeight="false" outlineLevel="0" collapsed="false">
      <c r="A23" s="2" t="s">
        <v>38</v>
      </c>
      <c r="B23" s="12" t="n">
        <v>8000</v>
      </c>
    </row>
    <row r="24" customFormat="false" ht="15" hidden="false" customHeight="false" outlineLevel="0" collapsed="false">
      <c r="A24" s="2" t="s">
        <v>39</v>
      </c>
      <c r="B24" s="10" t="n">
        <v>0.1</v>
      </c>
    </row>
    <row r="26" customFormat="false" ht="15" hidden="false" customHeight="false" outlineLevel="0" collapsed="false">
      <c r="A26" s="17" t="s">
        <v>40</v>
      </c>
      <c r="C26" s="18" t="s">
        <v>41</v>
      </c>
      <c r="D26" s="18" t="s">
        <v>42</v>
      </c>
      <c r="E26" s="18" t="s">
        <v>43</v>
      </c>
      <c r="F26" s="18" t="s">
        <v>44</v>
      </c>
      <c r="G26" s="18" t="s">
        <v>45</v>
      </c>
    </row>
    <row r="28" customFormat="false" ht="15" hidden="false" customHeight="false" outlineLevel="0" collapsed="false">
      <c r="A28" s="2" t="s">
        <v>46</v>
      </c>
      <c r="C28" s="13" t="n">
        <v>25000</v>
      </c>
      <c r="D28" s="13" t="n">
        <v>70000</v>
      </c>
      <c r="E28" s="13" t="n">
        <v>160000</v>
      </c>
      <c r="F28" s="13" t="n">
        <v>320000</v>
      </c>
      <c r="G28" s="13" t="n">
        <v>550000</v>
      </c>
    </row>
    <row r="29" customFormat="false" ht="15" hidden="false" customHeight="false" outlineLevel="0" collapsed="false">
      <c r="A29" s="2" t="s">
        <v>47</v>
      </c>
      <c r="C29" s="13" t="n">
        <v>25000</v>
      </c>
      <c r="D29" s="13" t="n">
        <v>45000</v>
      </c>
      <c r="E29" s="13" t="n">
        <v>90000</v>
      </c>
      <c r="F29" s="13" t="n">
        <v>160000</v>
      </c>
      <c r="G29" s="13" t="n">
        <v>230000</v>
      </c>
    </row>
    <row r="30" customFormat="false" ht="15" hidden="false" customHeight="false" outlineLevel="0" collapsed="false">
      <c r="A30" s="2" t="s">
        <v>48</v>
      </c>
      <c r="C30" s="15" t="n">
        <v>900000</v>
      </c>
      <c r="D30" s="15" t="n">
        <v>1200000</v>
      </c>
      <c r="E30" s="15" t="n">
        <v>1900000</v>
      </c>
      <c r="F30" s="15" t="n">
        <v>3200000</v>
      </c>
      <c r="G30" s="15" t="n">
        <v>5000000</v>
      </c>
    </row>
    <row r="31" customFormat="false" ht="15" hidden="false" customHeight="false" outlineLevel="0" collapsed="false">
      <c r="A31" s="2" t="s">
        <v>49</v>
      </c>
      <c r="C31" s="15" t="n">
        <v>1100000</v>
      </c>
      <c r="D31" s="15" t="n">
        <v>1700000</v>
      </c>
      <c r="E31" s="15" t="n">
        <v>2800000</v>
      </c>
      <c r="F31" s="15" t="n">
        <v>4400000</v>
      </c>
      <c r="G31" s="15" t="n">
        <v>6500000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52"/>
    <col collapsed="false" customWidth="true" hidden="false" outlineLevel="0" max="3" min="3" style="0" width="34"/>
  </cols>
  <sheetData>
    <row r="1" customFormat="false" ht="21.75" hidden="false" customHeight="true" outlineLevel="0" collapsed="false">
      <c r="A1" s="1" t="s">
        <v>50</v>
      </c>
      <c r="B1" s="1"/>
      <c r="C1" s="1"/>
      <c r="D1" s="1"/>
    </row>
    <row r="3" customFormat="false" ht="15" hidden="false" customHeight="false" outlineLevel="0" collapsed="false">
      <c r="A3" s="17" t="s">
        <v>51</v>
      </c>
      <c r="B3" s="17" t="s">
        <v>52</v>
      </c>
      <c r="C3" s="17" t="s">
        <v>53</v>
      </c>
    </row>
    <row r="4" customFormat="false" ht="15" hidden="false" customHeight="false" outlineLevel="0" collapsed="false">
      <c r="A4" s="19" t="s">
        <v>54</v>
      </c>
      <c r="B4" s="20" t="s">
        <v>55</v>
      </c>
      <c r="C4" s="20" t="s">
        <v>56</v>
      </c>
    </row>
    <row r="5" customFormat="false" ht="15" hidden="false" customHeight="false" outlineLevel="0" collapsed="false">
      <c r="A5" s="19" t="s">
        <v>57</v>
      </c>
      <c r="B5" s="20" t="s">
        <v>58</v>
      </c>
      <c r="C5" s="20" t="s">
        <v>59</v>
      </c>
    </row>
    <row r="6" customFormat="false" ht="15" hidden="false" customHeight="false" outlineLevel="0" collapsed="false">
      <c r="A6" s="19" t="s">
        <v>60</v>
      </c>
      <c r="B6" s="20" t="s">
        <v>61</v>
      </c>
      <c r="C6" s="20" t="s">
        <v>62</v>
      </c>
    </row>
    <row r="7" customFormat="false" ht="15" hidden="false" customHeight="false" outlineLevel="0" collapsed="false">
      <c r="A7" s="19" t="s">
        <v>63</v>
      </c>
      <c r="B7" s="20" t="s">
        <v>64</v>
      </c>
      <c r="C7" s="20" t="s">
        <v>65</v>
      </c>
    </row>
    <row r="8" customFormat="false" ht="15" hidden="false" customHeight="false" outlineLevel="0" collapsed="false">
      <c r="A8" s="19" t="s">
        <v>66</v>
      </c>
      <c r="B8" s="20" t="s">
        <v>67</v>
      </c>
      <c r="C8" s="20" t="s">
        <v>68</v>
      </c>
    </row>
    <row r="9" customFormat="false" ht="26.85" hidden="false" customHeight="false" outlineLevel="0" collapsed="false">
      <c r="A9" s="19" t="s">
        <v>69</v>
      </c>
      <c r="B9" s="20" t="s">
        <v>70</v>
      </c>
      <c r="C9" s="20" t="s">
        <v>71</v>
      </c>
    </row>
    <row r="10" customFormat="false" ht="15" hidden="false" customHeight="false" outlineLevel="0" collapsed="false">
      <c r="A10" s="19" t="s">
        <v>72</v>
      </c>
      <c r="B10" s="20" t="s">
        <v>73</v>
      </c>
      <c r="C10" s="20" t="s">
        <v>74</v>
      </c>
    </row>
    <row r="11" customFormat="false" ht="15" hidden="false" customHeight="false" outlineLevel="0" collapsed="false">
      <c r="A11" s="19" t="s">
        <v>75</v>
      </c>
      <c r="B11" s="20" t="s">
        <v>76</v>
      </c>
      <c r="C11" s="20" t="s">
        <v>77</v>
      </c>
    </row>
    <row r="12" customFormat="false" ht="15" hidden="false" customHeight="false" outlineLevel="0" collapsed="false">
      <c r="A12" s="19" t="s">
        <v>78</v>
      </c>
      <c r="B12" s="20" t="s">
        <v>79</v>
      </c>
      <c r="C12" s="20" t="s">
        <v>80</v>
      </c>
    </row>
    <row r="13" customFormat="false" ht="15" hidden="false" customHeight="false" outlineLevel="0" collapsed="false">
      <c r="A13" s="19" t="s">
        <v>81</v>
      </c>
      <c r="B13" s="20" t="s">
        <v>82</v>
      </c>
      <c r="C13" s="20" t="s">
        <v>77</v>
      </c>
    </row>
    <row r="14" customFormat="false" ht="15" hidden="false" customHeight="false" outlineLevel="0" collapsed="false">
      <c r="A14" s="19" t="s">
        <v>83</v>
      </c>
      <c r="B14" s="20" t="s">
        <v>84</v>
      </c>
      <c r="C14" s="20" t="s">
        <v>85</v>
      </c>
    </row>
    <row r="15" customFormat="false" ht="15" hidden="false" customHeight="false" outlineLevel="0" collapsed="false">
      <c r="A15" s="19" t="s">
        <v>86</v>
      </c>
      <c r="B15" s="20" t="s">
        <v>87</v>
      </c>
      <c r="C15" s="20" t="s">
        <v>68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8" min="3" style="0" width="13"/>
    <col collapsed="false" customWidth="true" hidden="false" outlineLevel="0" max="11" min="10" style="0" width="15"/>
  </cols>
  <sheetData>
    <row r="1" customFormat="false" ht="21.75" hidden="false" customHeight="true" outlineLevel="0" collapsed="false">
      <c r="A1" s="1" t="s">
        <v>88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3" customFormat="false" ht="15" hidden="false" customHeight="false" outlineLevel="0" collapsed="false">
      <c r="A3" s="4" t="s">
        <v>89</v>
      </c>
      <c r="B3" s="4"/>
      <c r="C3" s="4"/>
      <c r="D3" s="4"/>
      <c r="E3" s="4"/>
      <c r="F3" s="4"/>
      <c r="G3" s="4"/>
      <c r="H3" s="4"/>
    </row>
    <row r="4" customFormat="false" ht="15" hidden="false" customHeight="false" outlineLevel="0" collapsed="false">
      <c r="A4" s="0" t="s">
        <v>90</v>
      </c>
      <c r="C4" s="21" t="n">
        <v>0</v>
      </c>
      <c r="D4" s="21" t="n">
        <v>1</v>
      </c>
      <c r="E4" s="21" t="n">
        <v>2</v>
      </c>
      <c r="F4" s="21" t="n">
        <v>3</v>
      </c>
      <c r="G4" s="21" t="n">
        <v>4</v>
      </c>
      <c r="H4" s="21" t="n">
        <v>5</v>
      </c>
      <c r="J4" s="9" t="s">
        <v>57</v>
      </c>
      <c r="K4" s="22" t="n">
        <f aca="false">NPV(Premissas!$B$3,D5:H5)+C5</f>
        <v>2788868.95576132</v>
      </c>
    </row>
    <row r="5" customFormat="false" ht="15" hidden="false" customHeight="false" outlineLevel="0" collapsed="false">
      <c r="A5" s="0" t="s">
        <v>91</v>
      </c>
      <c r="C5" s="23" t="n">
        <f aca="false">-Premissas!$B$6</f>
        <v>-380000</v>
      </c>
      <c r="D5" s="24" t="n">
        <f aca="false">Premissas!C28*Premissas!$B$8*(1-Premissas!$B$9)-Premissas!C30</f>
        <v>-462500</v>
      </c>
      <c r="E5" s="24" t="n">
        <f aca="false">Premissas!D28*Premissas!$B$8*(1-Premissas!$B$9)-Premissas!D30</f>
        <v>25000</v>
      </c>
      <c r="F5" s="24" t="n">
        <f aca="false">Premissas!E28*Premissas!$B$8*(1-Premissas!$B$9)-Premissas!E30</f>
        <v>900000</v>
      </c>
      <c r="G5" s="24" t="n">
        <f aca="false">Premissas!F28*Premissas!$B$8*(1-Premissas!$B$9)-Premissas!F30</f>
        <v>2400000</v>
      </c>
      <c r="H5" s="24" t="n">
        <f aca="false">Premissas!G28*Premissas!$B$8*(1-Premissas!$B$9)-Premissas!G30</f>
        <v>4625000</v>
      </c>
      <c r="J5" s="9" t="s">
        <v>60</v>
      </c>
      <c r="K5" s="25" t="n">
        <f aca="false">IRR(C5:H5)</f>
        <v>0.798843591346491</v>
      </c>
    </row>
    <row r="6" customFormat="false" ht="15" hidden="false" customHeight="false" outlineLevel="0" collapsed="false">
      <c r="J6" s="9" t="s">
        <v>92</v>
      </c>
      <c r="K6" s="22" t="n">
        <f aca="false">PMT(Premissas!$B$3,5,-K4)</f>
        <v>932541.173941088</v>
      </c>
    </row>
    <row r="7" customFormat="false" ht="15" hidden="false" customHeight="false" outlineLevel="0" collapsed="false">
      <c r="J7" s="9" t="s">
        <v>72</v>
      </c>
      <c r="K7" s="26" t="n">
        <f aca="false">NPV(Premissas!$B$3,D5:H5)/(-C5)</f>
        <v>8.33912883095084</v>
      </c>
    </row>
    <row r="8" customFormat="false" ht="15" hidden="false" customHeight="false" outlineLevel="0" collapsed="false">
      <c r="J8" s="9" t="s">
        <v>75</v>
      </c>
      <c r="K8" s="25" t="n">
        <f aca="false">K7^(1/5)-1</f>
        <v>0.528354628970422</v>
      </c>
    </row>
    <row r="11" customFormat="false" ht="15" hidden="false" customHeight="false" outlineLevel="0" collapsed="false">
      <c r="A11" s="4" t="s">
        <v>93</v>
      </c>
      <c r="B11" s="4"/>
      <c r="C11" s="4"/>
      <c r="D11" s="4"/>
      <c r="E11" s="4"/>
      <c r="F11" s="4"/>
      <c r="G11" s="4"/>
      <c r="H11" s="4"/>
    </row>
    <row r="12" customFormat="false" ht="15" hidden="false" customHeight="false" outlineLevel="0" collapsed="false">
      <c r="A12" s="0" t="s">
        <v>90</v>
      </c>
      <c r="C12" s="21" t="n">
        <v>0</v>
      </c>
      <c r="D12" s="21" t="n">
        <v>1</v>
      </c>
      <c r="E12" s="21" t="n">
        <v>2</v>
      </c>
      <c r="F12" s="21" t="n">
        <v>3</v>
      </c>
      <c r="G12" s="21" t="n">
        <v>4</v>
      </c>
      <c r="H12" s="21" t="n">
        <v>5</v>
      </c>
      <c r="J12" s="9" t="s">
        <v>57</v>
      </c>
      <c r="K12" s="22" t="n">
        <f aca="false">NPV(Premissas!$B$3,D13:H13)+C13</f>
        <v>431689.814814817</v>
      </c>
    </row>
    <row r="13" customFormat="false" ht="15" hidden="false" customHeight="false" outlineLevel="0" collapsed="false">
      <c r="A13" s="0" t="s">
        <v>91</v>
      </c>
      <c r="C13" s="23" t="n">
        <f aca="false">-Premissas!$B$6</f>
        <v>-380000</v>
      </c>
      <c r="D13" s="24" t="n">
        <f aca="false">Premissas!C28*Premissas!$B$10*(1-Premissas!$B$13)-Premissas!C31-CEILING(Premissas!C28/Premissas!$B$11,1)*Premissas!$B$12</f>
        <v>-900000</v>
      </c>
      <c r="E13" s="24" t="n">
        <f aca="false">Premissas!D28*Premissas!$B$10*(1-Premissas!$B$13)-Premissas!D31-(CEILING(Premissas!D28/Premissas!$B$11,1)-CEILING(Premissas!C28/Premissas!$B$11,1))*Premissas!$B$12</f>
        <v>-492000</v>
      </c>
      <c r="F13" s="24" t="n">
        <f aca="false">Premissas!E28*Premissas!$B$10*(1-Premissas!$B$13)-Premissas!E31-(CEILING(Premissas!E28/Premissas!$B$11,1)-CEILING(Premissas!D28/Premissas!$B$11,1))*Premissas!$B$12</f>
        <v>-176000</v>
      </c>
      <c r="G13" s="24" t="n">
        <f aca="false">Premissas!F28*Premissas!$B$10*(1-Premissas!$B$13)-Premissas!F31-(CEILING(Premissas!F28/Premissas!$B$11,1)-CEILING(Premissas!E28/Premissas!$B$11,1))*Premissas!$B$12</f>
        <v>1208000</v>
      </c>
      <c r="H13" s="24" t="n">
        <f aca="false">Premissas!G28*Premissas!$B$10*(1-Premissas!$B$13)-Premissas!G31-(CEILING(Premissas!G28/Premissas!$B$11,1)-CEILING(Premissas!F28/Premissas!$B$11,1))*Premissas!$B$12</f>
        <v>3540000</v>
      </c>
      <c r="J13" s="9" t="s">
        <v>60</v>
      </c>
      <c r="K13" s="25" t="n">
        <f aca="false">IRR(C13:H13)</f>
        <v>0.283096409687926</v>
      </c>
    </row>
    <row r="14" customFormat="false" ht="15" hidden="false" customHeight="false" outlineLevel="0" collapsed="false">
      <c r="J14" s="9" t="s">
        <v>92</v>
      </c>
      <c r="K14" s="22" t="n">
        <f aca="false">PMT(Premissas!$B$3,5,-K12)</f>
        <v>144348.312190927</v>
      </c>
    </row>
    <row r="15" customFormat="false" ht="15" hidden="false" customHeight="false" outlineLevel="0" collapsed="false">
      <c r="J15" s="9" t="s">
        <v>72</v>
      </c>
      <c r="K15" s="26" t="n">
        <f aca="false">NPV(Premissas!$B$3,D13:H13)/(-C13)</f>
        <v>2.13602582846004</v>
      </c>
    </row>
    <row r="16" customFormat="false" ht="15" hidden="false" customHeight="false" outlineLevel="0" collapsed="false">
      <c r="J16" s="9" t="s">
        <v>75</v>
      </c>
      <c r="K16" s="25" t="n">
        <f aca="false">K15^(1/5)-1</f>
        <v>0.163915093127434</v>
      </c>
    </row>
    <row r="19" customFormat="false" ht="15" hidden="false" customHeight="false" outlineLevel="0" collapsed="false">
      <c r="A19" s="4" t="s">
        <v>94</v>
      </c>
      <c r="B19" s="4"/>
      <c r="C19" s="4"/>
      <c r="D19" s="4"/>
      <c r="E19" s="4"/>
      <c r="F19" s="4"/>
      <c r="G19" s="4"/>
      <c r="H19" s="4"/>
    </row>
    <row r="20" customFormat="false" ht="15" hidden="false" customHeight="false" outlineLevel="0" collapsed="false">
      <c r="A20" s="0" t="s">
        <v>90</v>
      </c>
      <c r="C20" s="21" t="n">
        <v>0</v>
      </c>
      <c r="D20" s="21" t="n">
        <v>1</v>
      </c>
      <c r="E20" s="21" t="n">
        <v>2</v>
      </c>
      <c r="F20" s="21" t="n">
        <v>3</v>
      </c>
      <c r="G20" s="21" t="n">
        <v>4</v>
      </c>
      <c r="H20" s="21" t="n">
        <v>5</v>
      </c>
      <c r="J20" s="9" t="s">
        <v>57</v>
      </c>
      <c r="K20" s="22" t="n">
        <f aca="false">NPV(Premissas!$B$3,D21:H21)+C21</f>
        <v>2937890.51783265</v>
      </c>
    </row>
    <row r="21" customFormat="false" ht="15" hidden="false" customHeight="false" outlineLevel="0" collapsed="false">
      <c r="A21" s="0" t="s">
        <v>91</v>
      </c>
      <c r="C21" s="23" t="n">
        <f aca="false">-Premissas!$B$6</f>
        <v>-380000</v>
      </c>
      <c r="D21" s="24" t="n">
        <f aca="false">(Premissas!C28*Premissas!$B$14+(Premissas!C29/Premissas!$B$7)*Premissas!$B$15)*(1-Premissas!$B$16)-Premissas!C30</f>
        <v>-398333.333333333</v>
      </c>
      <c r="E21" s="24" t="n">
        <f aca="false">(Premissas!D28*Premissas!$B$14+(Premissas!D29/Premissas!$B$7)*Premissas!$B$15)*(1-Premissas!$B$16)-Premissas!D30</f>
        <v>88000</v>
      </c>
      <c r="F21" s="24" t="n">
        <f aca="false">(Premissas!E28*Premissas!$B$14+(Premissas!E29/Premissas!$B$7)*Premissas!$B$15)*(1-Premissas!$B$16)-Premissas!E30</f>
        <v>984000</v>
      </c>
      <c r="G21" s="24" t="n">
        <f aca="false">(Premissas!F28*Premissas!$B$14+(Premissas!F29/Premissas!$B$7)*Premissas!$B$15)*(1-Premissas!$B$16)-Premissas!F30</f>
        <v>2474666.66666667</v>
      </c>
      <c r="H21" s="24" t="n">
        <f aca="false">(Premissas!G28*Premissas!$B$14+(Premissas!G29/Premissas!$B$7)*Premissas!$B$15)*(1-Premissas!$B$16)-Premissas!G30</f>
        <v>4543333.33333333</v>
      </c>
      <c r="J21" s="9" t="s">
        <v>60</v>
      </c>
      <c r="K21" s="25" t="n">
        <f aca="false">IRR(C21:H21)</f>
        <v>0.855721787133331</v>
      </c>
    </row>
    <row r="22" customFormat="false" ht="15" hidden="false" customHeight="false" outlineLevel="0" collapsed="false">
      <c r="J22" s="9" t="s">
        <v>92</v>
      </c>
      <c r="K22" s="22" t="n">
        <f aca="false">PMT(Premissas!$B$3,5,-K20)</f>
        <v>982370.959650255</v>
      </c>
    </row>
    <row r="23" customFormat="false" ht="15" hidden="false" customHeight="false" outlineLevel="0" collapsed="false">
      <c r="J23" s="9" t="s">
        <v>72</v>
      </c>
      <c r="K23" s="26" t="n">
        <f aca="false">NPV(Premissas!$B$3,D21:H21)/(-C21)</f>
        <v>8.73129083640171</v>
      </c>
    </row>
    <row r="24" customFormat="false" ht="15" hidden="false" customHeight="false" outlineLevel="0" collapsed="false">
      <c r="J24" s="9" t="s">
        <v>75</v>
      </c>
      <c r="K24" s="25" t="n">
        <f aca="false">K23^(1/5)-1</f>
        <v>0.542466323602093</v>
      </c>
    </row>
    <row r="27" customFormat="false" ht="15" hidden="false" customHeight="false" outlineLevel="0" collapsed="false">
      <c r="A27" s="8" t="s">
        <v>95</v>
      </c>
    </row>
  </sheetData>
  <mergeCells count="4">
    <mergeCell ref="A1:L1"/>
    <mergeCell ref="A3:H3"/>
    <mergeCell ref="A11:H11"/>
    <mergeCell ref="A19:H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8"/>
  </cols>
  <sheetData>
    <row r="1" customFormat="false" ht="21.75" hidden="false" customHeight="true" outlineLevel="0" collapsed="false">
      <c r="A1" s="1" t="s">
        <v>96</v>
      </c>
      <c r="B1" s="1"/>
      <c r="C1" s="1"/>
      <c r="D1" s="1"/>
      <c r="E1" s="1"/>
    </row>
    <row r="3" customFormat="false" ht="15" hidden="false" customHeight="false" outlineLevel="0" collapsed="false">
      <c r="A3" s="27" t="s">
        <v>97</v>
      </c>
      <c r="B3" s="27"/>
      <c r="C3" s="27"/>
      <c r="D3" s="27"/>
      <c r="E3" s="27"/>
    </row>
    <row r="5" customFormat="false" ht="15" hidden="false" customHeight="false" outlineLevel="0" collapsed="false">
      <c r="A5" s="28" t="s">
        <v>98</v>
      </c>
      <c r="B5" s="29" t="n">
        <f aca="false">Premissas!$B$7</f>
        <v>3000</v>
      </c>
    </row>
    <row r="6" customFormat="false" ht="15" hidden="false" customHeight="false" outlineLevel="0" collapsed="false">
      <c r="A6" s="28" t="s">
        <v>99</v>
      </c>
      <c r="B6" s="30" t="n">
        <f aca="false">Premissas!$B$18*Premissas!$B$19</f>
        <v>105</v>
      </c>
    </row>
    <row r="7" customFormat="false" ht="15" hidden="false" customHeight="false" outlineLevel="0" collapsed="false">
      <c r="A7" s="28" t="s">
        <v>100</v>
      </c>
      <c r="B7" s="30" t="n">
        <f aca="false">Premissas!$B$20*Premissas!$B$21</f>
        <v>175</v>
      </c>
    </row>
    <row r="8" customFormat="false" ht="15" hidden="false" customHeight="false" outlineLevel="0" collapsed="false">
      <c r="A8" s="31" t="s">
        <v>101</v>
      </c>
      <c r="B8" s="32" t="n">
        <f aca="false">B6+B7</f>
        <v>280</v>
      </c>
    </row>
    <row r="9" customFormat="false" ht="15" hidden="false" customHeight="false" outlineLevel="0" collapsed="false">
      <c r="A9" s="28" t="s">
        <v>102</v>
      </c>
      <c r="B9" s="30" t="n">
        <f aca="false">Premissas!$B$14</f>
        <v>22</v>
      </c>
    </row>
    <row r="10" customFormat="false" ht="15" hidden="false" customHeight="false" outlineLevel="0" collapsed="false">
      <c r="A10" s="28" t="s">
        <v>103</v>
      </c>
      <c r="B10" s="30" t="n">
        <f aca="false">B8-B9</f>
        <v>258</v>
      </c>
    </row>
    <row r="11" customFormat="false" ht="15" hidden="false" customHeight="false" outlineLevel="0" collapsed="false">
      <c r="A11" s="31" t="s">
        <v>104</v>
      </c>
      <c r="B11" s="32" t="n">
        <f aca="false">B8*B5</f>
        <v>840000</v>
      </c>
    </row>
    <row r="12" customFormat="false" ht="15" hidden="false" customHeight="false" outlineLevel="0" collapsed="false">
      <c r="A12" s="28" t="s">
        <v>105</v>
      </c>
      <c r="B12" s="30" t="n">
        <f aca="false">Premissas!$B$14*B5+Premissas!$B$15</f>
        <v>86000</v>
      </c>
    </row>
    <row r="13" customFormat="false" ht="15" hidden="false" customHeight="false" outlineLevel="0" collapsed="false">
      <c r="A13" s="31" t="s">
        <v>106</v>
      </c>
      <c r="B13" s="33" t="n">
        <f aca="false">B11/B12</f>
        <v>9.76744186046512</v>
      </c>
    </row>
    <row r="14" customFormat="false" ht="15" hidden="false" customHeight="false" outlineLevel="0" collapsed="false">
      <c r="A14" s="31" t="s">
        <v>107</v>
      </c>
      <c r="B14" s="34" t="n">
        <f aca="false">B12/B11*12</f>
        <v>1.22857142857143</v>
      </c>
    </row>
    <row r="16" customFormat="false" ht="15" hidden="false" customHeight="false" outlineLevel="0" collapsed="false">
      <c r="A16" s="35" t="s">
        <v>108</v>
      </c>
      <c r="B16" s="35"/>
      <c r="C16" s="35"/>
      <c r="D16" s="35"/>
      <c r="E16" s="35"/>
    </row>
    <row r="17" customFormat="false" ht="15" hidden="false" customHeight="false" outlineLevel="0" collapsed="false">
      <c r="A17" s="35" t="s">
        <v>109</v>
      </c>
      <c r="B17" s="35"/>
      <c r="C17" s="35"/>
      <c r="D17" s="35"/>
      <c r="E17" s="35"/>
    </row>
    <row r="19" customFormat="false" ht="15" hidden="false" customHeight="false" outlineLevel="0" collapsed="false">
      <c r="A19" s="36" t="s">
        <v>110</v>
      </c>
      <c r="B19" s="36"/>
      <c r="C19" s="36"/>
      <c r="D19" s="36"/>
      <c r="E19" s="36"/>
    </row>
  </sheetData>
  <mergeCells count="5">
    <mergeCell ref="A1:E1"/>
    <mergeCell ref="A3:E3"/>
    <mergeCell ref="A16:E16"/>
    <mergeCell ref="A17:E17"/>
    <mergeCell ref="A19:E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8"/>
  </cols>
  <sheetData>
    <row r="1" customFormat="false" ht="21.75" hidden="false" customHeight="true" outlineLevel="0" collapsed="false">
      <c r="A1" s="1" t="s">
        <v>111</v>
      </c>
      <c r="B1" s="1"/>
      <c r="C1" s="1"/>
      <c r="D1" s="1"/>
      <c r="E1" s="1"/>
    </row>
    <row r="4" customFormat="false" ht="15" hidden="false" customHeight="false" outlineLevel="0" collapsed="false">
      <c r="A4" s="28" t="s">
        <v>112</v>
      </c>
      <c r="B4" s="30" t="n">
        <f aca="false">Premissas!$B$7*Premissas!$B$14</f>
        <v>66000</v>
      </c>
    </row>
    <row r="5" customFormat="false" ht="15" hidden="false" customHeight="false" outlineLevel="0" collapsed="false">
      <c r="A5" s="28" t="s">
        <v>113</v>
      </c>
      <c r="B5" s="37" t="n">
        <f aca="false">1-Premissas!$B$16</f>
        <v>0.7</v>
      </c>
    </row>
    <row r="6" customFormat="false" ht="15" hidden="false" customHeight="false" outlineLevel="0" collapsed="false">
      <c r="A6" s="31" t="s">
        <v>114</v>
      </c>
      <c r="B6" s="32" t="n">
        <f aca="false">B4*B5</f>
        <v>46200</v>
      </c>
    </row>
    <row r="7" customFormat="false" ht="15" hidden="false" customHeight="false" outlineLevel="0" collapsed="false">
      <c r="A7" s="28" t="s">
        <v>115</v>
      </c>
      <c r="B7" s="37" t="n">
        <f aca="false">Premissas!$B$24</f>
        <v>0.1</v>
      </c>
    </row>
    <row r="8" customFormat="false" ht="15" hidden="false" customHeight="false" outlineLevel="0" collapsed="false">
      <c r="A8" s="28" t="s">
        <v>116</v>
      </c>
      <c r="B8" s="38" t="n">
        <f aca="false">1/B7</f>
        <v>10</v>
      </c>
    </row>
    <row r="9" customFormat="false" ht="15" hidden="false" customHeight="false" outlineLevel="0" collapsed="false">
      <c r="A9" s="31" t="s">
        <v>117</v>
      </c>
      <c r="B9" s="32" t="n">
        <f aca="false">B6/B7</f>
        <v>462000</v>
      </c>
    </row>
    <row r="10" customFormat="false" ht="15" hidden="false" customHeight="false" outlineLevel="0" collapsed="false">
      <c r="A10" s="28" t="s">
        <v>118</v>
      </c>
      <c r="B10" s="30" t="n">
        <f aca="false">Premissas!$B$23</f>
        <v>8000</v>
      </c>
    </row>
    <row r="11" customFormat="false" ht="15" hidden="false" customHeight="false" outlineLevel="0" collapsed="false">
      <c r="A11" s="31" t="s">
        <v>119</v>
      </c>
      <c r="B11" s="33" t="n">
        <f aca="false">B9/B10</f>
        <v>57.75</v>
      </c>
    </row>
    <row r="12" customFormat="false" ht="15" hidden="false" customHeight="false" outlineLevel="0" collapsed="false">
      <c r="A12" s="31" t="s">
        <v>120</v>
      </c>
      <c r="B12" s="34" t="n">
        <f aca="false">B10/(B6/12)</f>
        <v>2.07792207792208</v>
      </c>
    </row>
    <row r="13" customFormat="false" ht="15" hidden="false" customHeight="false" outlineLevel="0" collapsed="false">
      <c r="A13" s="28" t="s">
        <v>121</v>
      </c>
      <c r="B13" s="30" t="n">
        <f aca="false">Premissas!$B$15</f>
        <v>20000</v>
      </c>
    </row>
    <row r="16" customFormat="false" ht="15" hidden="false" customHeight="false" outlineLevel="0" collapsed="false">
      <c r="A16" s="27" t="s">
        <v>122</v>
      </c>
      <c r="B16" s="27"/>
      <c r="C16" s="27"/>
      <c r="D16" s="27"/>
      <c r="E16" s="27"/>
    </row>
    <row r="17" customFormat="false" ht="15" hidden="false" customHeight="false" outlineLevel="0" collapsed="false">
      <c r="A17" s="36" t="s">
        <v>123</v>
      </c>
      <c r="B17" s="36"/>
      <c r="C17" s="36"/>
      <c r="D17" s="36"/>
      <c r="E17" s="36"/>
    </row>
  </sheetData>
  <mergeCells count="3">
    <mergeCell ref="A1:E1"/>
    <mergeCell ref="A16:E16"/>
    <mergeCell ref="A17:E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6"/>
    <col collapsed="false" customWidth="true" hidden="false" outlineLevel="0" max="7" min="3" style="0" width="15"/>
  </cols>
  <sheetData>
    <row r="1" customFormat="false" ht="21.75" hidden="false" customHeight="true" outlineLevel="0" collapsed="false">
      <c r="A1" s="1" t="s">
        <v>124</v>
      </c>
      <c r="B1" s="1"/>
      <c r="C1" s="1"/>
      <c r="D1" s="1"/>
      <c r="E1" s="1"/>
      <c r="F1" s="1"/>
      <c r="G1" s="1"/>
      <c r="H1" s="1"/>
    </row>
    <row r="3" customFormat="false" ht="15" hidden="false" customHeight="false" outlineLevel="0" collapsed="false">
      <c r="A3" s="27" t="s">
        <v>125</v>
      </c>
      <c r="B3" s="27"/>
      <c r="C3" s="27"/>
      <c r="D3" s="27"/>
      <c r="E3" s="27"/>
      <c r="F3" s="27"/>
      <c r="G3" s="27"/>
      <c r="H3" s="27"/>
    </row>
    <row r="4" customFormat="false" ht="15" hidden="false" customHeight="false" outlineLevel="0" collapsed="false">
      <c r="B4" s="21" t="s">
        <v>126</v>
      </c>
      <c r="C4" s="39" t="n">
        <v>0.85</v>
      </c>
      <c r="D4" s="39" t="n">
        <v>0.925</v>
      </c>
      <c r="E4" s="39" t="n">
        <v>1</v>
      </c>
      <c r="F4" s="39" t="n">
        <v>1.075</v>
      </c>
      <c r="G4" s="39" t="n">
        <v>1.15</v>
      </c>
    </row>
    <row r="5" customFormat="false" ht="15" hidden="false" customHeight="false" outlineLevel="0" collapsed="false">
      <c r="B5" s="40" t="n">
        <v>0.6</v>
      </c>
      <c r="C5" s="41" t="n">
        <f aca="false">-Premissas!$B$6+(((Premissas!$C$28*$B$5*Premissas!$B$14*C$4)+((Premissas!$C$29*$B$5/Premissas!$B$7)*Premissas!$B$15))*(1-Premissas!$B$16)-Premissas!$C$30)/(1+Premissas!$B$3)^1+(((Premissas!$D$28*$B$5*Premissas!$B$14*C$4)+((Premissas!$D$29*$B$5/Premissas!$B$7)*Premissas!$B$15))*(1-Premissas!$B$16)-Premissas!$D$30)/(1+Premissas!$B$3)^2+(((Premissas!$E$28*$B$5*Premissas!$B$14*C$4)+((Premissas!$E$29*$B$5/Premissas!$B$7)*Premissas!$B$15))*(1-Premissas!$B$16)-Premissas!$E$30)/(1+Premissas!$B$3)^3+(((Premissas!$F$28*$B$5*Premissas!$B$14*C$4)+((Premissas!$F$29*$B$5/Premissas!$B$7)*Premissas!$B$15))*(1-Premissas!$B$16)-Premissas!$F$30)/(1+Premissas!$B$3)^4+(((Premissas!$G$28*$B$5*Premissas!$B$14*C$4)+((Premissas!$G$29*$B$5/Premissas!$B$7)*Premissas!$B$15))*(1-Premissas!$B$16)-Premissas!$G$30)/(1+Premissas!$B$3)^5</f>
        <v>-1628276.42746914</v>
      </c>
      <c r="D5" s="41" t="n">
        <f aca="false">-Premissas!$B$6+(((Premissas!$C$28*$B$5*Premissas!$B$14*D$4)+((Premissas!$C$29*$B$5/Premissas!$B$7)*Premissas!$B$15))*(1-Premissas!$B$16)-Premissas!$C$30)/(1+Premissas!$B$3)^1+(((Premissas!$D$28*$B$5*Premissas!$B$14*D$4)+((Premissas!$D$29*$B$5/Premissas!$B$7)*Premissas!$B$15))*(1-Premissas!$B$16)-Premissas!$D$30)/(1+Premissas!$B$3)^2+(((Premissas!$E$28*$B$5*Premissas!$B$14*D$4)+((Premissas!$E$29*$B$5/Premissas!$B$7)*Premissas!$B$15))*(1-Premissas!$B$16)-Premissas!$E$30)/(1+Premissas!$B$3)^3+(((Premissas!$F$28*$B$5*Premissas!$B$14*D$4)+((Premissas!$F$29*$B$5/Premissas!$B$7)*Premissas!$B$15))*(1-Premissas!$B$16)-Premissas!$F$30)/(1+Premissas!$B$3)^4+(((Premissas!$G$28*$B$5*Premissas!$B$14*D$4)+((Premissas!$G$29*$B$5/Premissas!$B$7)*Premissas!$B$15))*(1-Premissas!$B$16)-Premissas!$G$30)/(1+Premissas!$B$3)^5</f>
        <v>-1255864.67978395</v>
      </c>
      <c r="E5" s="41" t="n">
        <f aca="false">-Premissas!$B$6+(((Premissas!$C$28*$B$5*Premissas!$B$14*E$4)+((Premissas!$C$29*$B$5/Premissas!$B$7)*Premissas!$B$15))*(1-Premissas!$B$16)-Premissas!$C$30)/(1+Premissas!$B$3)^1+(((Premissas!$D$28*$B$5*Premissas!$B$14*E$4)+((Premissas!$D$29*$B$5/Premissas!$B$7)*Premissas!$B$15))*(1-Premissas!$B$16)-Premissas!$D$30)/(1+Premissas!$B$3)^2+(((Premissas!$E$28*$B$5*Premissas!$B$14*E$4)+((Premissas!$E$29*$B$5/Premissas!$B$7)*Premissas!$B$15))*(1-Premissas!$B$16)-Premissas!$E$30)/(1+Premissas!$B$3)^3+(((Premissas!$F$28*$B$5*Premissas!$B$14*E$4)+((Premissas!$F$29*$B$5/Premissas!$B$7)*Premissas!$B$15))*(1-Premissas!$B$16)-Premissas!$F$30)/(1+Premissas!$B$3)^4+(((Premissas!$G$28*$B$5*Premissas!$B$14*E$4)+((Premissas!$G$29*$B$5/Premissas!$B$7)*Premissas!$B$15))*(1-Premissas!$B$16)-Premissas!$G$30)/(1+Premissas!$B$3)^5</f>
        <v>-883452.932098766</v>
      </c>
      <c r="F5" s="41" t="n">
        <f aca="false">-Premissas!$B$6+(((Premissas!$C$28*$B$5*Premissas!$B$14*F$4)+((Premissas!$C$29*$B$5/Premissas!$B$7)*Premissas!$B$15))*(1-Premissas!$B$16)-Premissas!$C$30)/(1+Premissas!$B$3)^1+(((Premissas!$D$28*$B$5*Premissas!$B$14*F$4)+((Premissas!$D$29*$B$5/Premissas!$B$7)*Premissas!$B$15))*(1-Premissas!$B$16)-Premissas!$D$30)/(1+Premissas!$B$3)^2+(((Premissas!$E$28*$B$5*Premissas!$B$14*F$4)+((Premissas!$E$29*$B$5/Premissas!$B$7)*Premissas!$B$15))*(1-Premissas!$B$16)-Premissas!$E$30)/(1+Premissas!$B$3)^3+(((Premissas!$F$28*$B$5*Premissas!$B$14*F$4)+((Premissas!$F$29*$B$5/Premissas!$B$7)*Premissas!$B$15))*(1-Premissas!$B$16)-Premissas!$F$30)/(1+Premissas!$B$3)^4+(((Premissas!$G$28*$B$5*Premissas!$B$14*F$4)+((Premissas!$G$29*$B$5/Premissas!$B$7)*Premissas!$B$15))*(1-Premissas!$B$16)-Premissas!$G$30)/(1+Premissas!$B$3)^5</f>
        <v>-511041.18441358</v>
      </c>
      <c r="G5" s="41" t="n">
        <f aca="false">-Premissas!$B$6+(((Premissas!$C$28*$B$5*Premissas!$B$14*G$4)+((Premissas!$C$29*$B$5/Premissas!$B$7)*Premissas!$B$15))*(1-Premissas!$B$16)-Premissas!$C$30)/(1+Premissas!$B$3)^1+(((Premissas!$D$28*$B$5*Premissas!$B$14*G$4)+((Premissas!$D$29*$B$5/Premissas!$B$7)*Premissas!$B$15))*(1-Premissas!$B$16)-Premissas!$D$30)/(1+Premissas!$B$3)^2+(((Premissas!$E$28*$B$5*Premissas!$B$14*G$4)+((Premissas!$E$29*$B$5/Premissas!$B$7)*Premissas!$B$15))*(1-Premissas!$B$16)-Premissas!$E$30)/(1+Premissas!$B$3)^3+(((Premissas!$F$28*$B$5*Premissas!$B$14*G$4)+((Premissas!$F$29*$B$5/Premissas!$B$7)*Premissas!$B$15))*(1-Premissas!$B$16)-Premissas!$F$30)/(1+Premissas!$B$3)^4+(((Premissas!$G$28*$B$5*Premissas!$B$14*G$4)+((Premissas!$G$29*$B$5/Premissas!$B$7)*Premissas!$B$15))*(1-Premissas!$B$16)-Premissas!$G$30)/(1+Premissas!$B$3)^5</f>
        <v>-138629.436728395</v>
      </c>
    </row>
    <row r="6" customFormat="false" ht="15" hidden="false" customHeight="false" outlineLevel="0" collapsed="false">
      <c r="B6" s="40" t="n">
        <v>0.8</v>
      </c>
      <c r="C6" s="41" t="n">
        <f aca="false">-Premissas!$B$6+(((Premissas!$C$28*$B$6*Premissas!$B$14*C$4)+((Premissas!$C$29*$B$6/Premissas!$B$7)*Premissas!$B$15))*(1-Premissas!$B$16)-Premissas!$C$30)/(1+Premissas!$B$3)^1+(((Premissas!$D$28*$B$6*Premissas!$B$14*C$4)+((Premissas!$D$29*$B$6/Premissas!$B$7)*Premissas!$B$15))*(1-Premissas!$B$16)-Premissas!$D$30)/(1+Premissas!$B$3)^2+(((Premissas!$E$28*$B$6*Premissas!$B$14*C$4)+((Premissas!$E$29*$B$6/Premissas!$B$7)*Premissas!$B$15))*(1-Premissas!$B$16)-Premissas!$E$30)/(1+Premissas!$B$3)^3+(((Premissas!$F$28*$B$6*Premissas!$B$14*C$4)+((Premissas!$F$29*$B$6/Premissas!$B$7)*Premissas!$B$15))*(1-Premissas!$B$16)-Premissas!$F$30)/(1+Premissas!$B$3)^4+(((Premissas!$G$28*$B$6*Premissas!$B$14*C$4)+((Premissas!$G$29*$B$6/Premissas!$B$7)*Premissas!$B$15))*(1-Premissas!$B$16)-Premissas!$G$30)/(1+Premissas!$B$3)^5</f>
        <v>34120.7990397802</v>
      </c>
      <c r="D6" s="41" t="n">
        <f aca="false">-Premissas!$B$6+(((Premissas!$C$28*$B$6*Premissas!$B$14*D$4)+((Premissas!$C$29*$B$6/Premissas!$B$7)*Premissas!$B$15))*(1-Premissas!$B$16)-Premissas!$C$30)/(1+Premissas!$B$3)^1+(((Premissas!$D$28*$B$6*Premissas!$B$14*D$4)+((Premissas!$D$29*$B$6/Premissas!$B$7)*Premissas!$B$15))*(1-Premissas!$B$16)-Premissas!$D$30)/(1+Premissas!$B$3)^2+(((Premissas!$E$28*$B$6*Premissas!$B$14*D$4)+((Premissas!$E$29*$B$6/Premissas!$B$7)*Premissas!$B$15))*(1-Premissas!$B$16)-Premissas!$E$30)/(1+Premissas!$B$3)^3+(((Premissas!$F$28*$B$6*Premissas!$B$14*D$4)+((Premissas!$F$29*$B$6/Premissas!$B$7)*Premissas!$B$15))*(1-Premissas!$B$16)-Premissas!$F$30)/(1+Premissas!$B$3)^4+(((Premissas!$G$28*$B$6*Premissas!$B$14*D$4)+((Premissas!$G$29*$B$6/Premissas!$B$7)*Premissas!$B$15))*(1-Premissas!$B$16)-Premissas!$G$30)/(1+Premissas!$B$3)^5</f>
        <v>530669.795953361</v>
      </c>
      <c r="E6" s="41" t="n">
        <f aca="false">-Premissas!$B$6+(((Premissas!$C$28*$B$6*Premissas!$B$14*E$4)+((Premissas!$C$29*$B$6/Premissas!$B$7)*Premissas!$B$15))*(1-Premissas!$B$16)-Premissas!$C$30)/(1+Premissas!$B$3)^1+(((Premissas!$D$28*$B$6*Premissas!$B$14*E$4)+((Premissas!$D$29*$B$6/Premissas!$B$7)*Premissas!$B$15))*(1-Premissas!$B$16)-Premissas!$D$30)/(1+Premissas!$B$3)^2+(((Premissas!$E$28*$B$6*Premissas!$B$14*E$4)+((Premissas!$E$29*$B$6/Premissas!$B$7)*Premissas!$B$15))*(1-Premissas!$B$16)-Premissas!$E$30)/(1+Premissas!$B$3)^3+(((Premissas!$F$28*$B$6*Premissas!$B$14*E$4)+((Premissas!$F$29*$B$6/Premissas!$B$7)*Premissas!$B$15))*(1-Premissas!$B$16)-Premissas!$F$30)/(1+Premissas!$B$3)^4+(((Premissas!$G$28*$B$6*Premissas!$B$14*E$4)+((Premissas!$G$29*$B$6/Premissas!$B$7)*Premissas!$B$15))*(1-Premissas!$B$16)-Premissas!$G$30)/(1+Premissas!$B$3)^5</f>
        <v>1027218.79286694</v>
      </c>
      <c r="F6" s="41" t="n">
        <f aca="false">-Premissas!$B$6+(((Premissas!$C$28*$B$6*Premissas!$B$14*F$4)+((Premissas!$C$29*$B$6/Premissas!$B$7)*Premissas!$B$15))*(1-Premissas!$B$16)-Premissas!$C$30)/(1+Premissas!$B$3)^1+(((Premissas!$D$28*$B$6*Premissas!$B$14*F$4)+((Premissas!$D$29*$B$6/Premissas!$B$7)*Premissas!$B$15))*(1-Premissas!$B$16)-Premissas!$D$30)/(1+Premissas!$B$3)^2+(((Premissas!$E$28*$B$6*Premissas!$B$14*F$4)+((Premissas!$E$29*$B$6/Premissas!$B$7)*Premissas!$B$15))*(1-Premissas!$B$16)-Premissas!$E$30)/(1+Premissas!$B$3)^3+(((Premissas!$F$28*$B$6*Premissas!$B$14*F$4)+((Premissas!$F$29*$B$6/Premissas!$B$7)*Premissas!$B$15))*(1-Premissas!$B$16)-Premissas!$F$30)/(1+Premissas!$B$3)^4+(((Premissas!$G$28*$B$6*Premissas!$B$14*F$4)+((Premissas!$G$29*$B$6/Premissas!$B$7)*Premissas!$B$15))*(1-Premissas!$B$16)-Premissas!$G$30)/(1+Premissas!$B$3)^5</f>
        <v>1523767.78978052</v>
      </c>
      <c r="G6" s="41" t="n">
        <f aca="false">-Premissas!$B$6+(((Premissas!$C$28*$B$6*Premissas!$B$14*G$4)+((Premissas!$C$29*$B$6/Premissas!$B$7)*Premissas!$B$15))*(1-Premissas!$B$16)-Premissas!$C$30)/(1+Premissas!$B$3)^1+(((Premissas!$D$28*$B$6*Premissas!$B$14*G$4)+((Premissas!$D$29*$B$6/Premissas!$B$7)*Premissas!$B$15))*(1-Premissas!$B$16)-Premissas!$D$30)/(1+Premissas!$B$3)^2+(((Premissas!$E$28*$B$6*Premissas!$B$14*G$4)+((Premissas!$E$29*$B$6/Premissas!$B$7)*Premissas!$B$15))*(1-Premissas!$B$16)-Premissas!$E$30)/(1+Premissas!$B$3)^3+(((Premissas!$F$28*$B$6*Premissas!$B$14*G$4)+((Premissas!$F$29*$B$6/Premissas!$B$7)*Premissas!$B$15))*(1-Premissas!$B$16)-Premissas!$F$30)/(1+Premissas!$B$3)^4+(((Premissas!$G$28*$B$6*Premissas!$B$14*G$4)+((Premissas!$G$29*$B$6/Premissas!$B$7)*Premissas!$B$15))*(1-Premissas!$B$16)-Premissas!$G$30)/(1+Premissas!$B$3)^5</f>
        <v>2020316.7866941</v>
      </c>
    </row>
    <row r="7" customFormat="false" ht="15" hidden="false" customHeight="false" outlineLevel="0" collapsed="false">
      <c r="B7" s="40" t="n">
        <v>1</v>
      </c>
      <c r="C7" s="41" t="n">
        <f aca="false">-Premissas!$B$6+(((Premissas!$C$28*$B$7*Premissas!$B$14*C$4)+((Premissas!$C$29*$B$7/Premissas!$B$7)*Premissas!$B$15))*(1-Premissas!$B$16)-Premissas!$C$30)/(1+Premissas!$B$3)^1+(((Premissas!$D$28*$B$7*Premissas!$B$14*C$4)+((Premissas!$D$29*$B$7/Premissas!$B$7)*Premissas!$B$15))*(1-Premissas!$B$16)-Premissas!$D$30)/(1+Premissas!$B$3)^2+(((Premissas!$E$28*$B$7*Premissas!$B$14*C$4)+((Premissas!$E$29*$B$7/Premissas!$B$7)*Premissas!$B$15))*(1-Premissas!$B$16)-Premissas!$E$30)/(1+Premissas!$B$3)^3+(((Premissas!$F$28*$B$7*Premissas!$B$14*C$4)+((Premissas!$F$29*$B$7/Premissas!$B$7)*Premissas!$B$15))*(1-Premissas!$B$16)-Premissas!$F$30)/(1+Premissas!$B$3)^4+(((Premissas!$G$28*$B$7*Premissas!$B$14*C$4)+((Premissas!$G$29*$B$7/Premissas!$B$7)*Premissas!$B$15))*(1-Premissas!$B$16)-Premissas!$G$30)/(1+Premissas!$B$3)^5</f>
        <v>1696518.0255487</v>
      </c>
      <c r="D7" s="41" t="n">
        <f aca="false">-Premissas!$B$6+(((Premissas!$C$28*$B$7*Premissas!$B$14*D$4)+((Premissas!$C$29*$B$7/Premissas!$B$7)*Premissas!$B$15))*(1-Premissas!$B$16)-Premissas!$C$30)/(1+Premissas!$B$3)^1+(((Premissas!$D$28*$B$7*Premissas!$B$14*D$4)+((Premissas!$D$29*$B$7/Premissas!$B$7)*Premissas!$B$15))*(1-Premissas!$B$16)-Premissas!$D$30)/(1+Premissas!$B$3)^2+(((Premissas!$E$28*$B$7*Premissas!$B$14*D$4)+((Premissas!$E$29*$B$7/Premissas!$B$7)*Premissas!$B$15))*(1-Premissas!$B$16)-Premissas!$E$30)/(1+Premissas!$B$3)^3+(((Premissas!$F$28*$B$7*Premissas!$B$14*D$4)+((Premissas!$F$29*$B$7/Premissas!$B$7)*Premissas!$B$15))*(1-Premissas!$B$16)-Premissas!$F$30)/(1+Premissas!$B$3)^4+(((Premissas!$G$28*$B$7*Premissas!$B$14*D$4)+((Premissas!$G$29*$B$7/Premissas!$B$7)*Premissas!$B$15))*(1-Premissas!$B$16)-Premissas!$G$30)/(1+Premissas!$B$3)^5</f>
        <v>2317204.27169067</v>
      </c>
      <c r="E7" s="41" t="n">
        <f aca="false">-Premissas!$B$6+(((Premissas!$C$28*$B$7*Premissas!$B$14*E$4)+((Premissas!$C$29*$B$7/Premissas!$B$7)*Premissas!$B$15))*(1-Premissas!$B$16)-Premissas!$C$30)/(1+Premissas!$B$3)^1+(((Premissas!$D$28*$B$7*Premissas!$B$14*E$4)+((Premissas!$D$29*$B$7/Premissas!$B$7)*Premissas!$B$15))*(1-Premissas!$B$16)-Premissas!$D$30)/(1+Premissas!$B$3)^2+(((Premissas!$E$28*$B$7*Premissas!$B$14*E$4)+((Premissas!$E$29*$B$7/Premissas!$B$7)*Premissas!$B$15))*(1-Premissas!$B$16)-Premissas!$E$30)/(1+Premissas!$B$3)^3+(((Premissas!$F$28*$B$7*Premissas!$B$14*E$4)+((Premissas!$F$29*$B$7/Premissas!$B$7)*Premissas!$B$15))*(1-Premissas!$B$16)-Premissas!$F$30)/(1+Premissas!$B$3)^4+(((Premissas!$G$28*$B$7*Premissas!$B$14*E$4)+((Premissas!$G$29*$B$7/Premissas!$B$7)*Premissas!$B$15))*(1-Premissas!$B$16)-Premissas!$G$30)/(1+Premissas!$B$3)^5</f>
        <v>2937890.51783265</v>
      </c>
      <c r="F7" s="41" t="n">
        <f aca="false">-Premissas!$B$6+(((Premissas!$C$28*$B$7*Premissas!$B$14*F$4)+((Premissas!$C$29*$B$7/Premissas!$B$7)*Premissas!$B$15))*(1-Premissas!$B$16)-Premissas!$C$30)/(1+Premissas!$B$3)^1+(((Premissas!$D$28*$B$7*Premissas!$B$14*F$4)+((Premissas!$D$29*$B$7/Premissas!$B$7)*Premissas!$B$15))*(1-Premissas!$B$16)-Premissas!$D$30)/(1+Premissas!$B$3)^2+(((Premissas!$E$28*$B$7*Premissas!$B$14*F$4)+((Premissas!$E$29*$B$7/Premissas!$B$7)*Premissas!$B$15))*(1-Premissas!$B$16)-Premissas!$E$30)/(1+Premissas!$B$3)^3+(((Premissas!$F$28*$B$7*Premissas!$B$14*F$4)+((Premissas!$F$29*$B$7/Premissas!$B$7)*Premissas!$B$15))*(1-Premissas!$B$16)-Premissas!$F$30)/(1+Premissas!$B$3)^4+(((Premissas!$G$28*$B$7*Premissas!$B$14*F$4)+((Premissas!$G$29*$B$7/Premissas!$B$7)*Premissas!$B$15))*(1-Premissas!$B$16)-Premissas!$G$30)/(1+Premissas!$B$3)^5</f>
        <v>3558576.76397462</v>
      </c>
      <c r="G7" s="41" t="n">
        <f aca="false">-Premissas!$B$6+(((Premissas!$C$28*$B$7*Premissas!$B$14*G$4)+((Premissas!$C$29*$B$7/Premissas!$B$7)*Premissas!$B$15))*(1-Premissas!$B$16)-Premissas!$C$30)/(1+Premissas!$B$3)^1+(((Premissas!$D$28*$B$7*Premissas!$B$14*G$4)+((Premissas!$D$29*$B$7/Premissas!$B$7)*Premissas!$B$15))*(1-Premissas!$B$16)-Premissas!$D$30)/(1+Premissas!$B$3)^2+(((Premissas!$E$28*$B$7*Premissas!$B$14*G$4)+((Premissas!$E$29*$B$7/Premissas!$B$7)*Premissas!$B$15))*(1-Premissas!$B$16)-Premissas!$E$30)/(1+Premissas!$B$3)^3+(((Premissas!$F$28*$B$7*Premissas!$B$14*G$4)+((Premissas!$F$29*$B$7/Premissas!$B$7)*Premissas!$B$15))*(1-Premissas!$B$16)-Premissas!$F$30)/(1+Premissas!$B$3)^4+(((Premissas!$G$28*$B$7*Premissas!$B$14*G$4)+((Premissas!$G$29*$B$7/Premissas!$B$7)*Premissas!$B$15))*(1-Premissas!$B$16)-Premissas!$G$30)/(1+Premissas!$B$3)^5</f>
        <v>4179263.0101166</v>
      </c>
    </row>
    <row r="8" customFormat="false" ht="15" hidden="false" customHeight="false" outlineLevel="0" collapsed="false">
      <c r="B8" s="40" t="n">
        <v>1.2</v>
      </c>
      <c r="C8" s="41" t="n">
        <f aca="false">-Premissas!$B$6+(((Premissas!$C$28*$B$8*Premissas!$B$14*C$4)+((Premissas!$C$29*$B$8/Premissas!$B$7)*Premissas!$B$15))*(1-Premissas!$B$16)-Premissas!$C$30)/(1+Premissas!$B$3)^1+(((Premissas!$D$28*$B$8*Premissas!$B$14*C$4)+((Premissas!$D$29*$B$8/Premissas!$B$7)*Premissas!$B$15))*(1-Premissas!$B$16)-Premissas!$D$30)/(1+Premissas!$B$3)^2+(((Premissas!$E$28*$B$8*Premissas!$B$14*C$4)+((Premissas!$E$29*$B$8/Premissas!$B$7)*Premissas!$B$15))*(1-Premissas!$B$16)-Premissas!$E$30)/(1+Premissas!$B$3)^3+(((Premissas!$F$28*$B$8*Premissas!$B$14*C$4)+((Premissas!$F$29*$B$8/Premissas!$B$7)*Premissas!$B$15))*(1-Premissas!$B$16)-Premissas!$F$30)/(1+Premissas!$B$3)^4+(((Premissas!$G$28*$B$8*Premissas!$B$14*C$4)+((Premissas!$G$29*$B$8/Premissas!$B$7)*Premissas!$B$15))*(1-Premissas!$B$16)-Premissas!$G$30)/(1+Premissas!$B$3)^5</f>
        <v>3358915.25205761</v>
      </c>
      <c r="D8" s="41" t="n">
        <f aca="false">-Premissas!$B$6+(((Premissas!$C$28*$B$8*Premissas!$B$14*D$4)+((Premissas!$C$29*$B$8/Premissas!$B$7)*Premissas!$B$15))*(1-Premissas!$B$16)-Premissas!$C$30)/(1+Premissas!$B$3)^1+(((Premissas!$D$28*$B$8*Premissas!$B$14*D$4)+((Premissas!$D$29*$B$8/Premissas!$B$7)*Premissas!$B$15))*(1-Premissas!$B$16)-Premissas!$D$30)/(1+Premissas!$B$3)^2+(((Premissas!$E$28*$B$8*Premissas!$B$14*D$4)+((Premissas!$E$29*$B$8/Premissas!$B$7)*Premissas!$B$15))*(1-Premissas!$B$16)-Premissas!$E$30)/(1+Premissas!$B$3)^3+(((Premissas!$F$28*$B$8*Premissas!$B$14*D$4)+((Premissas!$F$29*$B$8/Premissas!$B$7)*Premissas!$B$15))*(1-Premissas!$B$16)-Premissas!$F$30)/(1+Premissas!$B$3)^4+(((Premissas!$G$28*$B$8*Premissas!$B$14*D$4)+((Premissas!$G$29*$B$8/Premissas!$B$7)*Premissas!$B$15))*(1-Premissas!$B$16)-Premissas!$G$30)/(1+Premissas!$B$3)^5</f>
        <v>4103738.74742798</v>
      </c>
      <c r="E8" s="41" t="n">
        <f aca="false">-Premissas!$B$6+(((Premissas!$C$28*$B$8*Premissas!$B$14*E$4)+((Premissas!$C$29*$B$8/Premissas!$B$7)*Premissas!$B$15))*(1-Premissas!$B$16)-Premissas!$C$30)/(1+Premissas!$B$3)^1+(((Premissas!$D$28*$B$8*Premissas!$B$14*E$4)+((Premissas!$D$29*$B$8/Premissas!$B$7)*Premissas!$B$15))*(1-Premissas!$B$16)-Premissas!$D$30)/(1+Premissas!$B$3)^2+(((Premissas!$E$28*$B$8*Premissas!$B$14*E$4)+((Premissas!$E$29*$B$8/Premissas!$B$7)*Premissas!$B$15))*(1-Premissas!$B$16)-Premissas!$E$30)/(1+Premissas!$B$3)^3+(((Premissas!$F$28*$B$8*Premissas!$B$14*E$4)+((Premissas!$F$29*$B$8/Premissas!$B$7)*Premissas!$B$15))*(1-Premissas!$B$16)-Premissas!$F$30)/(1+Premissas!$B$3)^4+(((Premissas!$G$28*$B$8*Premissas!$B$14*E$4)+((Premissas!$G$29*$B$8/Premissas!$B$7)*Premissas!$B$15))*(1-Premissas!$B$16)-Premissas!$G$30)/(1+Premissas!$B$3)^5</f>
        <v>4848562.24279835</v>
      </c>
      <c r="F8" s="41" t="n">
        <f aca="false">-Premissas!$B$6+(((Premissas!$C$28*$B$8*Premissas!$B$14*F$4)+((Premissas!$C$29*$B$8/Premissas!$B$7)*Premissas!$B$15))*(1-Premissas!$B$16)-Premissas!$C$30)/(1+Premissas!$B$3)^1+(((Premissas!$D$28*$B$8*Premissas!$B$14*F$4)+((Premissas!$D$29*$B$8/Premissas!$B$7)*Premissas!$B$15))*(1-Premissas!$B$16)-Premissas!$D$30)/(1+Premissas!$B$3)^2+(((Premissas!$E$28*$B$8*Premissas!$B$14*F$4)+((Premissas!$E$29*$B$8/Premissas!$B$7)*Premissas!$B$15))*(1-Premissas!$B$16)-Premissas!$E$30)/(1+Premissas!$B$3)^3+(((Premissas!$F$28*$B$8*Premissas!$B$14*F$4)+((Premissas!$F$29*$B$8/Premissas!$B$7)*Premissas!$B$15))*(1-Premissas!$B$16)-Premissas!$F$30)/(1+Premissas!$B$3)^4+(((Premissas!$G$28*$B$8*Premissas!$B$14*F$4)+((Premissas!$G$29*$B$8/Premissas!$B$7)*Premissas!$B$15))*(1-Premissas!$B$16)-Premissas!$G$30)/(1+Premissas!$B$3)^5</f>
        <v>5593385.73816873</v>
      </c>
      <c r="G8" s="41" t="n">
        <f aca="false">-Premissas!$B$6+(((Premissas!$C$28*$B$8*Premissas!$B$14*G$4)+((Premissas!$C$29*$B$8/Premissas!$B$7)*Premissas!$B$15))*(1-Premissas!$B$16)-Premissas!$C$30)/(1+Premissas!$B$3)^1+(((Premissas!$D$28*$B$8*Premissas!$B$14*G$4)+((Premissas!$D$29*$B$8/Premissas!$B$7)*Premissas!$B$15))*(1-Premissas!$B$16)-Premissas!$D$30)/(1+Premissas!$B$3)^2+(((Premissas!$E$28*$B$8*Premissas!$B$14*G$4)+((Premissas!$E$29*$B$8/Premissas!$B$7)*Premissas!$B$15))*(1-Premissas!$B$16)-Premissas!$E$30)/(1+Premissas!$B$3)^3+(((Premissas!$F$28*$B$8*Premissas!$B$14*G$4)+((Premissas!$F$29*$B$8/Premissas!$B$7)*Premissas!$B$15))*(1-Premissas!$B$16)-Premissas!$F$30)/(1+Premissas!$B$3)^4+(((Premissas!$G$28*$B$8*Premissas!$B$14*G$4)+((Premissas!$G$29*$B$8/Premissas!$B$7)*Premissas!$B$15))*(1-Premissas!$B$16)-Premissas!$G$30)/(1+Premissas!$B$3)^5</f>
        <v>6338209.2335391</v>
      </c>
    </row>
    <row r="9" customFormat="false" ht="15" hidden="false" customHeight="false" outlineLevel="0" collapsed="false">
      <c r="B9" s="40" t="n">
        <v>1.4</v>
      </c>
      <c r="C9" s="41" t="n">
        <f aca="false">-Premissas!$B$6+(((Premissas!$C$28*$B$9*Premissas!$B$14*C$4)+((Premissas!$C$29*$B$9/Premissas!$B$7)*Premissas!$B$15))*(1-Premissas!$B$16)-Premissas!$C$30)/(1+Premissas!$B$3)^1+(((Premissas!$D$28*$B$9*Premissas!$B$14*C$4)+((Premissas!$D$29*$B$9/Premissas!$B$7)*Premissas!$B$15))*(1-Premissas!$B$16)-Premissas!$D$30)/(1+Premissas!$B$3)^2+(((Premissas!$E$28*$B$9*Premissas!$B$14*C$4)+((Premissas!$E$29*$B$9/Premissas!$B$7)*Premissas!$B$15))*(1-Premissas!$B$16)-Premissas!$E$30)/(1+Premissas!$B$3)^3+(((Premissas!$F$28*$B$9*Premissas!$B$14*C$4)+((Premissas!$F$29*$B$9/Premissas!$B$7)*Premissas!$B$15))*(1-Premissas!$B$16)-Premissas!$F$30)/(1+Premissas!$B$3)^4+(((Premissas!$G$28*$B$9*Premissas!$B$14*C$4)+((Premissas!$G$29*$B$9/Premissas!$B$7)*Premissas!$B$15))*(1-Premissas!$B$16)-Premissas!$G$30)/(1+Premissas!$B$3)^5</f>
        <v>5021312.47856653</v>
      </c>
      <c r="D9" s="41" t="n">
        <f aca="false">-Premissas!$B$6+(((Premissas!$C$28*$B$9*Premissas!$B$14*D$4)+((Premissas!$C$29*$B$9/Premissas!$B$7)*Premissas!$B$15))*(1-Premissas!$B$16)-Premissas!$C$30)/(1+Premissas!$B$3)^1+(((Premissas!$D$28*$B$9*Premissas!$B$14*D$4)+((Premissas!$D$29*$B$9/Premissas!$B$7)*Premissas!$B$15))*(1-Premissas!$B$16)-Premissas!$D$30)/(1+Premissas!$B$3)^2+(((Premissas!$E$28*$B$9*Premissas!$B$14*D$4)+((Premissas!$E$29*$B$9/Premissas!$B$7)*Premissas!$B$15))*(1-Premissas!$B$16)-Premissas!$E$30)/(1+Premissas!$B$3)^3+(((Premissas!$F$28*$B$9*Premissas!$B$14*D$4)+((Premissas!$F$29*$B$9/Premissas!$B$7)*Premissas!$B$15))*(1-Premissas!$B$16)-Premissas!$F$30)/(1+Premissas!$B$3)^4+(((Premissas!$G$28*$B$9*Premissas!$B$14*D$4)+((Premissas!$G$29*$B$9/Premissas!$B$7)*Premissas!$B$15))*(1-Premissas!$B$16)-Premissas!$G$30)/(1+Premissas!$B$3)^5</f>
        <v>5890273.2231653</v>
      </c>
      <c r="E9" s="41" t="n">
        <f aca="false">-Premissas!$B$6+(((Premissas!$C$28*$B$9*Premissas!$B$14*E$4)+((Premissas!$C$29*$B$9/Premissas!$B$7)*Premissas!$B$15))*(1-Premissas!$B$16)-Premissas!$C$30)/(1+Premissas!$B$3)^1+(((Premissas!$D$28*$B$9*Premissas!$B$14*E$4)+((Premissas!$D$29*$B$9/Premissas!$B$7)*Premissas!$B$15))*(1-Premissas!$B$16)-Premissas!$D$30)/(1+Premissas!$B$3)^2+(((Premissas!$E$28*$B$9*Premissas!$B$14*E$4)+((Premissas!$E$29*$B$9/Premissas!$B$7)*Premissas!$B$15))*(1-Premissas!$B$16)-Premissas!$E$30)/(1+Premissas!$B$3)^3+(((Premissas!$F$28*$B$9*Premissas!$B$14*E$4)+((Premissas!$F$29*$B$9/Premissas!$B$7)*Premissas!$B$15))*(1-Premissas!$B$16)-Premissas!$F$30)/(1+Premissas!$B$3)^4+(((Premissas!$G$28*$B$9*Premissas!$B$14*E$4)+((Premissas!$G$29*$B$9/Premissas!$B$7)*Premissas!$B$15))*(1-Premissas!$B$16)-Premissas!$G$30)/(1+Premissas!$B$3)^5</f>
        <v>6759233.96776406</v>
      </c>
      <c r="F9" s="41" t="n">
        <f aca="false">-Premissas!$B$6+(((Premissas!$C$28*$B$9*Premissas!$B$14*F$4)+((Premissas!$C$29*$B$9/Premissas!$B$7)*Premissas!$B$15))*(1-Premissas!$B$16)-Premissas!$C$30)/(1+Premissas!$B$3)^1+(((Premissas!$D$28*$B$9*Premissas!$B$14*F$4)+((Premissas!$D$29*$B$9/Premissas!$B$7)*Premissas!$B$15))*(1-Premissas!$B$16)-Premissas!$D$30)/(1+Premissas!$B$3)^2+(((Premissas!$E$28*$B$9*Premissas!$B$14*F$4)+((Premissas!$E$29*$B$9/Premissas!$B$7)*Premissas!$B$15))*(1-Premissas!$B$16)-Premissas!$E$30)/(1+Premissas!$B$3)^3+(((Premissas!$F$28*$B$9*Premissas!$B$14*F$4)+((Premissas!$F$29*$B$9/Premissas!$B$7)*Premissas!$B$15))*(1-Premissas!$B$16)-Premissas!$F$30)/(1+Premissas!$B$3)^4+(((Premissas!$G$28*$B$9*Premissas!$B$14*F$4)+((Premissas!$G$29*$B$9/Premissas!$B$7)*Premissas!$B$15))*(1-Premissas!$B$16)-Premissas!$G$30)/(1+Premissas!$B$3)^5</f>
        <v>7628194.71236283</v>
      </c>
      <c r="G9" s="41" t="n">
        <f aca="false">-Premissas!$B$6+(((Premissas!$C$28*$B$9*Premissas!$B$14*G$4)+((Premissas!$C$29*$B$9/Premissas!$B$7)*Premissas!$B$15))*(1-Premissas!$B$16)-Premissas!$C$30)/(1+Premissas!$B$3)^1+(((Premissas!$D$28*$B$9*Premissas!$B$14*G$4)+((Premissas!$D$29*$B$9/Premissas!$B$7)*Premissas!$B$15))*(1-Premissas!$B$16)-Premissas!$D$30)/(1+Premissas!$B$3)^2+(((Premissas!$E$28*$B$9*Premissas!$B$14*G$4)+((Premissas!$E$29*$B$9/Premissas!$B$7)*Premissas!$B$15))*(1-Premissas!$B$16)-Premissas!$E$30)/(1+Premissas!$B$3)^3+(((Premissas!$F$28*$B$9*Premissas!$B$14*G$4)+((Premissas!$F$29*$B$9/Premissas!$B$7)*Premissas!$B$15))*(1-Premissas!$B$16)-Premissas!$F$30)/(1+Premissas!$B$3)^4+(((Premissas!$G$28*$B$9*Premissas!$B$14*G$4)+((Premissas!$G$29*$B$9/Premissas!$B$7)*Premissas!$B$15))*(1-Premissas!$B$16)-Premissas!$G$30)/(1+Premissas!$B$3)^5</f>
        <v>8497155.45696159</v>
      </c>
    </row>
    <row r="11" customFormat="false" ht="15" hidden="false" customHeight="false" outlineLevel="0" collapsed="false">
      <c r="A11" s="27" t="s">
        <v>127</v>
      </c>
      <c r="B11" s="27"/>
      <c r="C11" s="27"/>
      <c r="D11" s="27"/>
      <c r="E11" s="27"/>
      <c r="F11" s="27"/>
      <c r="G11" s="27"/>
      <c r="H11" s="27"/>
    </row>
  </sheetData>
  <mergeCells count="3">
    <mergeCell ref="A1:H1"/>
    <mergeCell ref="A3:H3"/>
    <mergeCell ref="A11:H11"/>
  </mergeCells>
  <conditionalFormatting sqref="C5:G9">
    <cfRule type="cellIs" priority="2" operator="lessThan" aboveAverage="0" equalAverage="0" bottom="0" percent="0" rank="0" text="" dxfId="0">
      <formula>0</formula>
    </cfRule>
    <cfRule type="cellIs" priority="3" operator="greater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8"/>
    <col collapsed="false" customWidth="true" hidden="false" outlineLevel="0" max="4" min="4" style="0" width="14"/>
    <col collapsed="false" customWidth="true" hidden="false" outlineLevel="0" max="5" min="5" style="0" width="15"/>
  </cols>
  <sheetData>
    <row r="1" customFormat="false" ht="21.75" hidden="false" customHeight="true" outlineLevel="0" collapsed="false">
      <c r="A1" s="1" t="s">
        <v>128</v>
      </c>
      <c r="B1" s="1"/>
      <c r="C1" s="1"/>
      <c r="D1" s="1"/>
      <c r="E1" s="1"/>
      <c r="F1" s="1"/>
      <c r="G1" s="1"/>
      <c r="H1" s="1"/>
    </row>
    <row r="3" customFormat="false" ht="15" hidden="false" customHeight="false" outlineLevel="0" collapsed="false">
      <c r="A3" s="9" t="s">
        <v>129</v>
      </c>
    </row>
    <row r="4" customFormat="false" ht="15" hidden="false" customHeight="false" outlineLevel="0" collapsed="false">
      <c r="D4" s="9" t="s">
        <v>130</v>
      </c>
      <c r="E4" s="9" t="s">
        <v>131</v>
      </c>
    </row>
    <row r="5" customFormat="false" ht="15" hidden="false" customHeight="false" outlineLevel="0" collapsed="false">
      <c r="A5" s="31" t="s">
        <v>132</v>
      </c>
      <c r="B5" s="42" t="n">
        <f aca="false">'Modelos (base)'!K20</f>
        <v>2937890.51783265</v>
      </c>
      <c r="D5" s="43" t="s">
        <v>133</v>
      </c>
      <c r="E5" s="24" t="n">
        <f aca="false">'Modelos (base)'!K4</f>
        <v>2788868.95576132</v>
      </c>
    </row>
    <row r="6" customFormat="false" ht="15" hidden="false" customHeight="false" outlineLevel="0" collapsed="false">
      <c r="A6" s="31" t="s">
        <v>134</v>
      </c>
      <c r="B6" s="44" t="n">
        <f aca="false">'Modelos (base)'!K21</f>
        <v>0.855721787133331</v>
      </c>
      <c r="D6" s="43" t="s">
        <v>135</v>
      </c>
      <c r="E6" s="24" t="n">
        <f aca="false">'Modelos (base)'!K12</f>
        <v>431689.814814817</v>
      </c>
    </row>
    <row r="7" customFormat="false" ht="15" hidden="false" customHeight="false" outlineLevel="0" collapsed="false">
      <c r="A7" s="31" t="s">
        <v>136</v>
      </c>
      <c r="B7" s="42" t="n">
        <f aca="false">'Modelos (base)'!K22</f>
        <v>982370.959650255</v>
      </c>
      <c r="D7" s="43" t="s">
        <v>137</v>
      </c>
      <c r="E7" s="24" t="n">
        <f aca="false">'Modelos (base)'!K20</f>
        <v>2937890.51783265</v>
      </c>
    </row>
    <row r="8" customFormat="false" ht="15" hidden="false" customHeight="false" outlineLevel="0" collapsed="false">
      <c r="A8" s="31" t="s">
        <v>138</v>
      </c>
      <c r="B8" s="45" t="n">
        <f aca="false">'ROI do Cliente'!B13</f>
        <v>9.76744186046512</v>
      </c>
    </row>
    <row r="9" customFormat="false" ht="15" hidden="false" customHeight="false" outlineLevel="0" collapsed="false">
      <c r="A9" s="31" t="s">
        <v>139</v>
      </c>
      <c r="B9" s="46" t="n">
        <f aca="false">'ROI do Cliente'!B14</f>
        <v>1.22857142857143</v>
      </c>
    </row>
    <row r="10" customFormat="false" ht="15" hidden="false" customHeight="false" outlineLevel="0" collapsed="false">
      <c r="A10" s="31" t="s">
        <v>140</v>
      </c>
      <c r="B10" s="45" t="n">
        <f aca="false">'Unit Economics'!B12</f>
        <v>2.07792207792208</v>
      </c>
    </row>
    <row r="12" customFormat="false" ht="15" hidden="false" customHeight="false" outlineLevel="0" collapsed="false">
      <c r="A12" s="27" t="s">
        <v>141</v>
      </c>
      <c r="B12" s="27"/>
      <c r="C12" s="27"/>
      <c r="D12" s="27"/>
      <c r="E12" s="27"/>
      <c r="F12" s="27"/>
      <c r="G12" s="27"/>
      <c r="H12" s="27"/>
    </row>
    <row r="13" customFormat="false" ht="15" hidden="false" customHeight="false" outlineLevel="0" collapsed="false">
      <c r="A13" s="27" t="s">
        <v>142</v>
      </c>
      <c r="B13" s="27"/>
      <c r="C13" s="27"/>
      <c r="D13" s="27"/>
      <c r="E13" s="27"/>
      <c r="F13" s="27"/>
      <c r="G13" s="27"/>
      <c r="H13" s="27"/>
    </row>
  </sheetData>
  <mergeCells count="3">
    <mergeCell ref="A1:H1"/>
    <mergeCell ref="A12:H12"/>
    <mergeCell ref="A13:H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2026-06-17T03:17:45Z</dcterms:created>
  <dc:creator>openpyxl</dc:creator>
  <dc:description/>
  <dc:language>en-US</dc:language>
  <cp:lastModifiedBy/>
  <dcterms:modified xsi:type="dcterms:W3CDTF">2026-06-17T03:17:47Z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