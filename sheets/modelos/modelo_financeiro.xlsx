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vmlDrawing1.vml" ContentType="application/vnd.openxmlformats-officedocument.vmlDrawin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Premissas" sheetId="1" state="visible" r:id="rId3"/>
    <sheet name="Modelo A — SaaS" sheetId="2" state="visible" r:id="rId4"/>
    <sheet name="Modelo B — DaaS" sheetId="3" state="visible" r:id="rId5"/>
    <sheet name="Modelo C — Híbrido" sheetId="4" state="visible" r:id="rId6"/>
    <sheet name="Comparativo" sheetId="5" state="visible" r:id="rId7"/>
    <sheet name="Sensibilidade" sheetId="6" state="visible" r:id="rId8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1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B3" authorId="0">
      <text>
        <r>
          <rPr>
            <sz val="10"/>
            <rFont val="Arial"/>
            <family val="2"/>
          </rPr>
          <t xml:space="preserve">Selic 14,5% + ~5,5 p.p. de prêmio de risco (venture). PREMISSA.</t>
        </r>
      </text>
    </comment>
    <comment ref="B4" authorId="0">
      <text>
        <r>
          <rPr>
            <sz val="10"/>
            <rFont val="Arial"/>
            <family val="2"/>
          </rPr>
          <t xml:space="preserve">Fonte: Selic, Copom jun/2026 (verificar na data da entrega).</t>
        </r>
      </text>
    </comment>
    <comment ref="B6" authorId="0">
      <text>
        <r>
          <rPr>
            <sz val="10"/>
            <rFont val="Arial"/>
            <family val="2"/>
          </rPr>
          <t xml:space="preserve">PREMISSA - substituir por cotações reais (dev, infra, registro).</t>
        </r>
      </text>
    </comment>
    <comment ref="B7" authorId="0">
      <text>
        <r>
          <rPr>
            <sz val="10"/>
            <rFont val="Arial"/>
            <family val="2"/>
          </rPr>
          <t xml:space="preserve">PREMISSA - perfil médias/grandes fazendas de grãos.</t>
        </r>
      </text>
    </comment>
    <comment ref="B8" authorId="0">
      <text>
        <r>
          <rPr>
            <sz val="10"/>
            <rFont val="Arial"/>
            <family val="2"/>
          </rPr>
          <t xml:space="preserve">PREMISSA - validar com concorrentes.</t>
        </r>
      </text>
    </comment>
    <comment ref="B10" authorId="0">
      <text>
        <r>
          <rPr>
            <sz val="10"/>
            <rFont val="Arial"/>
            <family val="2"/>
          </rPr>
          <t xml:space="preserve">PREMISSA - inclui serviço de voo.</t>
        </r>
      </text>
    </comment>
    <comment ref="B11" authorId="0">
      <text>
        <r>
          <rPr>
            <sz val="10"/>
            <rFont val="Arial"/>
            <family val="2"/>
          </rPr>
          <t xml:space="preserve">PREMISSA - drone+operador, vários voos/safra + deslocamento.</t>
        </r>
      </text>
    </comment>
    <comment ref="B13" authorId="0">
      <text>
        <r>
          <rPr>
            <sz val="10"/>
            <rFont val="Arial"/>
            <family val="2"/>
          </rPr>
          <t xml:space="preserve">Serviço de campo: pilotos, logística, manutenção.</t>
        </r>
      </text>
    </comment>
    <comment ref="B15" authorId="0">
      <text>
        <r>
          <rPr>
            <sz val="10"/>
            <rFont val="Arial"/>
            <family val="2"/>
          </rPr>
          <t xml:space="preserve">Receita única no ano de entrada do cliente.</t>
        </r>
      </text>
    </comment>
    <comment ref="C19" authorId="0">
      <text>
        <r>
          <rPr>
            <sz val="10"/>
            <rFont val="Arial"/>
            <family val="2"/>
          </rPr>
          <t xml:space="preserve">PREMISSA - curva de adoção. Variável crítica do modelo.</t>
        </r>
      </text>
    </comment>
    <comment ref="C21" authorId="0">
      <text>
        <r>
          <rPr>
            <sz val="10"/>
            <rFont val="Arial"/>
            <family val="2"/>
          </rPr>
          <t xml:space="preserve">Equipe + infra base. PREMISSA.</t>
        </r>
      </text>
    </comment>
  </commentList>
</comments>
</file>

<file path=xl/sharedStrings.xml><?xml version="1.0" encoding="utf-8"?>
<sst xmlns="http://schemas.openxmlformats.org/spreadsheetml/2006/main" count="128" uniqueCount="74">
  <si>
    <t xml:space="preserve">PREMISSAS DO MODELO  —  edite as células AZUIS (amarelas = mais sensíveis)</t>
  </si>
  <si>
    <t xml:space="preserve">TMA recomendada (a.a.)</t>
  </si>
  <si>
    <t xml:space="preserve">TMA piso / custo de oportunidade (a.a.)</t>
  </si>
  <si>
    <t xml:space="preserve">TMA estresse (a.a.)</t>
  </si>
  <si>
    <t xml:space="preserve">Investimento software/MVP (Ano 0, R$)</t>
  </si>
  <si>
    <t xml:space="preserve">Fazenda média (ha por cliente)</t>
  </si>
  <si>
    <t xml:space="preserve">A) SaaS - preço (R$/ha/ano)</t>
  </si>
  <si>
    <t xml:space="preserve">A) SaaS - custo variável (% receita)</t>
  </si>
  <si>
    <t xml:space="preserve">B) DaaS - preço (R$/ha/ano)</t>
  </si>
  <si>
    <t xml:space="preserve">B) DaaS - capacidade (ha/ano por unidade)</t>
  </si>
  <si>
    <t xml:space="preserve">B) DaaS - custo por unidade (CAPEX, R$)</t>
  </si>
  <si>
    <t xml:space="preserve">B) DaaS - custo variável (% receita)</t>
  </si>
  <si>
    <t xml:space="preserve">C) Híbrido - preço SaaS (R$/ha/ano)</t>
  </si>
  <si>
    <t xml:space="preserve">C) Híbrido - taxa de implantação (R$/cliente)</t>
  </si>
  <si>
    <t xml:space="preserve">C) Híbrido - custo variável (% receita)</t>
  </si>
  <si>
    <t xml:space="preserve">Série anual</t>
  </si>
  <si>
    <t xml:space="preserve">Ano 1</t>
  </si>
  <si>
    <t xml:space="preserve">Ano 2</t>
  </si>
  <si>
    <t xml:space="preserve">Ano 3</t>
  </si>
  <si>
    <t xml:space="preserve">Ano 4</t>
  </si>
  <si>
    <t xml:space="preserve">Ano 5</t>
  </si>
  <si>
    <t xml:space="preserve">Hectares ativos (acum.)</t>
  </si>
  <si>
    <t xml:space="preserve">Hectares novos no ano</t>
  </si>
  <si>
    <t xml:space="preserve">Custo fixo base A/C (R$)</t>
  </si>
  <si>
    <t xml:space="preserve">Custo fixo DaaS B (R$)</t>
  </si>
  <si>
    <t xml:space="preserve">Azul = input editável   |   Preto = fórmula   |   Verde = link entre abas   |   Amarelo = premissa-chave</t>
  </si>
  <si>
    <t xml:space="preserve">Modelo A — SaaS</t>
  </si>
  <si>
    <t xml:space="preserve">t (período)</t>
  </si>
  <si>
    <t xml:space="preserve">Hectares ativos</t>
  </si>
  <si>
    <t xml:space="preserve">Unidades necessárias (acum.)</t>
  </si>
  <si>
    <t xml:space="preserve">Receita (R$)</t>
  </si>
  <si>
    <t xml:space="preserve">Custo variável (R$)</t>
  </si>
  <si>
    <t xml:space="preserve">Custo fixo (R$)</t>
  </si>
  <si>
    <t xml:space="preserve">CAPEX (R$)</t>
  </si>
  <si>
    <t xml:space="preserve">Fluxo de caixa líquido (R$)</t>
  </si>
  <si>
    <t xml:space="preserve">Fluxo acumulado (R$)</t>
  </si>
  <si>
    <t xml:space="preserve">Fator de desconto</t>
  </si>
  <si>
    <t xml:space="preserve">Fluxo descontado (R$)</t>
  </si>
  <si>
    <t xml:space="preserve">Fluxo desc. acumulado (R$)</t>
  </si>
  <si>
    <t xml:space="preserve">VPL (TMA recomendada, R$)</t>
  </si>
  <si>
    <t xml:space="preserve">TIR (a.a.)</t>
  </si>
  <si>
    <t xml:space="preserve">Payback simples (anos)</t>
  </si>
  <si>
    <t xml:space="preserve">Payback descontado (anos)</t>
  </si>
  <si>
    <t xml:space="preserve">IBC (Índice Benefício/Custo)</t>
  </si>
  <si>
    <t xml:space="preserve">ROIA (a.a.)</t>
  </si>
  <si>
    <t xml:space="preserve">VPL @ TMA piso (R$)</t>
  </si>
  <si>
    <t xml:space="preserve">VPL @ TMA estresse (R$)</t>
  </si>
  <si>
    <t xml:space="preserve">Premissas em Premissas! ; payback assume um único cruzamento de sinal no fluxo acumulado.</t>
  </si>
  <si>
    <t xml:space="preserve">Modelo B — DaaS</t>
  </si>
  <si>
    <t xml:space="preserve">Modelo C — Híbrido</t>
  </si>
  <si>
    <t xml:space="preserve">COMPARATIVO DOS 3 MODELOS (à TMA recomendada)</t>
  </si>
  <si>
    <t xml:space="preserve">Indicador</t>
  </si>
  <si>
    <t xml:space="preserve">A) SaaS asset-light</t>
  </si>
  <si>
    <t xml:space="preserve">B) DaaS frota própria</t>
  </si>
  <si>
    <t xml:space="preserve">C) Híbrido (setup+SaaS)</t>
  </si>
  <si>
    <t xml:space="preserve">Investimento Ano 0 (R$)</t>
  </si>
  <si>
    <t xml:space="preserve">VPL (TMA recom., R$)</t>
  </si>
  <si>
    <t xml:space="preserve">VPL (TMA piso, R$)</t>
  </si>
  <si>
    <t xml:space="preserve">VPL (TMA estresse, R$)</t>
  </si>
  <si>
    <t xml:space="preserve">IBC</t>
  </si>
  <si>
    <t xml:space="preserve">Recomendação: C (Híbrido) como principal — maior VPL e menor payback; A como alternativa enxuta; B só compensa com TMA moderada.</t>
  </si>
  <si>
    <t xml:space="preserve">ANÁLISE DE SENSIBILIDADE — Modelo C (motor: adoção e preço)</t>
  </si>
  <si>
    <t xml:space="preserve">Multiplicadores</t>
  </si>
  <si>
    <t xml:space="preserve">Pessimista</t>
  </si>
  <si>
    <t xml:space="preserve">Base</t>
  </si>
  <si>
    <t xml:space="preserve">Otimista</t>
  </si>
  <si>
    <t xml:space="preserve">Mult. adoção (hectares)</t>
  </si>
  <si>
    <t xml:space="preserve">Mult. preço</t>
  </si>
  <si>
    <t xml:space="preserve">Mult. custo fixo</t>
  </si>
  <si>
    <t xml:space="preserve">Fluxo de caixa (R$) por ano</t>
  </si>
  <si>
    <t xml:space="preserve">Ano 0</t>
  </si>
  <si>
    <t xml:space="preserve">VPL @ TMA recomendada (R$)</t>
  </si>
  <si>
    <t xml:space="preserve">Viável? (VPL rec. &gt; 0)</t>
  </si>
  <si>
    <t xml:space="preserve">Leitura: se a adoção ficar ~40% abaixo (pessimista), o VPL fica negativo — o risco nº 1 é a velocidade de aquisição de hectares.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</si>
</sst>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0.0%"/>
    <numFmt numFmtId="166" formatCode="&quot;R$ &quot;#,##0;&quot;(R$ &quot;#,##0\);\-"/>
    <numFmt numFmtId="167" formatCode="0"/>
    <numFmt numFmtId="168" formatCode="&quot;R$ &quot;#,##0.00;&quot;(R$ &quot;#,##0.00\);\-"/>
    <numFmt numFmtId="169" formatCode="0.00"/>
  </numFmts>
  <fonts count="13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3"/>
      <color rgb="FFFFFFFF"/>
      <name val="Arial"/>
      <family val="0"/>
      <charset val="1"/>
    </font>
    <font>
      <sz val="11"/>
      <color rgb="FF000000"/>
      <name val="Arial"/>
      <family val="0"/>
      <charset val="1"/>
    </font>
    <font>
      <sz val="11"/>
      <color rgb="FF0000FF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i val="true"/>
      <sz val="9"/>
      <name val="Arial"/>
      <family val="0"/>
      <charset val="1"/>
    </font>
    <font>
      <sz val="10"/>
      <name val="Arial"/>
      <family val="2"/>
    </font>
    <font>
      <sz val="11"/>
      <color rgb="FF008000"/>
      <name val="Arial"/>
      <family val="0"/>
      <charset val="1"/>
    </font>
    <font>
      <b val="true"/>
      <sz val="11"/>
      <name val="Arial"/>
      <family val="0"/>
      <charset val="1"/>
    </font>
    <font>
      <i val="true"/>
      <sz val="10"/>
      <name val="Arial"/>
      <family val="0"/>
      <charset val="1"/>
    </font>
  </fonts>
  <fills count="6">
    <fill>
      <patternFill patternType="none"/>
    </fill>
    <fill>
      <patternFill patternType="gray125"/>
    </fill>
    <fill>
      <patternFill patternType="solid">
        <fgColor rgb="FF2E5A2E"/>
        <bgColor rgb="FF4F7942"/>
      </patternFill>
    </fill>
    <fill>
      <patternFill patternType="solid">
        <fgColor rgb="FFFFFF00"/>
        <bgColor rgb="FFFFFF00"/>
      </patternFill>
    </fill>
    <fill>
      <patternFill patternType="solid">
        <fgColor rgb="FF4F7942"/>
        <bgColor rgb="FF2E5A2E"/>
      </patternFill>
    </fill>
    <fill>
      <patternFill patternType="solid">
        <fgColor rgb="FFEAF1EA"/>
        <bgColor rgb="FFFFFFFF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6" fillId="3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6" fillId="3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8" fontId="6" fillId="3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4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4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5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7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1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11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9" fontId="1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11" fillId="5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11" fillId="5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9" fontId="11" fillId="5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4" borderId="0" xfId="0" applyFont="true" applyBorder="false" applyAlignment="true" applyProtection="true">
      <alignment horizontal="center" vertical="bottom" textRotation="0" wrapText="true" indent="0" shrinkToFit="false"/>
      <protection locked="true" hidden="false"/>
    </xf>
    <xf numFmtId="166" fontId="10" fillId="5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1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9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EAF1EA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4F7942"/>
      <rgbColor rgb="FF003300"/>
      <rgbColor rgb="FF333300"/>
      <rgbColor rgb="FF993300"/>
      <rgbColor rgb="FF993366"/>
      <rgbColor rgb="FF333399"/>
      <rgbColor rgb="FF2E5A2E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vmlDrawing" Target="../drawings/vmlDrawing1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4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40"/>
    <col collapsed="false" customWidth="true" hidden="false" outlineLevel="0" max="7" min="2" style="1" width="15"/>
  </cols>
  <sheetData>
    <row r="1" customFormat="false" ht="21.75" hidden="false" customHeight="true" outlineLevel="0" collapsed="false">
      <c r="A1" s="2" t="s">
        <v>0</v>
      </c>
      <c r="B1" s="2"/>
      <c r="C1" s="2"/>
      <c r="D1" s="2"/>
      <c r="E1" s="2"/>
      <c r="F1" s="2"/>
      <c r="G1" s="2"/>
    </row>
    <row r="3" customFormat="false" ht="15" hidden="false" customHeight="false" outlineLevel="0" collapsed="false">
      <c r="A3" s="3" t="s">
        <v>1</v>
      </c>
      <c r="B3" s="4" t="n">
        <v>0.2</v>
      </c>
    </row>
    <row r="4" customFormat="false" ht="15" hidden="false" customHeight="false" outlineLevel="0" collapsed="false">
      <c r="A4" s="3" t="s">
        <v>2</v>
      </c>
      <c r="B4" s="5" t="n">
        <v>0.145</v>
      </c>
    </row>
    <row r="5" customFormat="false" ht="15" hidden="false" customHeight="false" outlineLevel="0" collapsed="false">
      <c r="A5" s="3" t="s">
        <v>3</v>
      </c>
      <c r="B5" s="5" t="n">
        <v>0.3</v>
      </c>
    </row>
    <row r="6" customFormat="false" ht="15" hidden="false" customHeight="false" outlineLevel="0" collapsed="false">
      <c r="A6" s="3" t="s">
        <v>4</v>
      </c>
      <c r="B6" s="6" t="n">
        <v>380000</v>
      </c>
    </row>
    <row r="7" customFormat="false" ht="15" hidden="false" customHeight="false" outlineLevel="0" collapsed="false">
      <c r="A7" s="3" t="s">
        <v>5</v>
      </c>
      <c r="B7" s="7" t="n">
        <v>3000</v>
      </c>
    </row>
    <row r="8" customFormat="false" ht="15" hidden="false" customHeight="false" outlineLevel="0" collapsed="false">
      <c r="A8" s="3" t="s">
        <v>6</v>
      </c>
      <c r="B8" s="8" t="n">
        <v>25</v>
      </c>
    </row>
    <row r="9" customFormat="false" ht="15" hidden="false" customHeight="false" outlineLevel="0" collapsed="false">
      <c r="A9" s="3" t="s">
        <v>7</v>
      </c>
      <c r="B9" s="5" t="n">
        <v>0.3</v>
      </c>
    </row>
    <row r="10" customFormat="false" ht="15" hidden="false" customHeight="false" outlineLevel="0" collapsed="false">
      <c r="A10" s="3" t="s">
        <v>8</v>
      </c>
      <c r="B10" s="8" t="n">
        <v>80</v>
      </c>
    </row>
    <row r="11" customFormat="false" ht="15" hidden="false" customHeight="false" outlineLevel="0" collapsed="false">
      <c r="A11" s="3" t="s">
        <v>9</v>
      </c>
      <c r="B11" s="7" t="n">
        <v>12000</v>
      </c>
    </row>
    <row r="12" customFormat="false" ht="15" hidden="false" customHeight="false" outlineLevel="0" collapsed="false">
      <c r="A12" s="3" t="s">
        <v>10</v>
      </c>
      <c r="B12" s="9" t="n">
        <v>120000</v>
      </c>
    </row>
    <row r="13" customFormat="false" ht="15" hidden="false" customHeight="false" outlineLevel="0" collapsed="false">
      <c r="A13" s="3" t="s">
        <v>11</v>
      </c>
      <c r="B13" s="4" t="n">
        <v>0.72</v>
      </c>
    </row>
    <row r="14" customFormat="false" ht="15" hidden="false" customHeight="false" outlineLevel="0" collapsed="false">
      <c r="A14" s="3" t="s">
        <v>12</v>
      </c>
      <c r="B14" s="8" t="n">
        <v>22</v>
      </c>
    </row>
    <row r="15" customFormat="false" ht="15" hidden="false" customHeight="false" outlineLevel="0" collapsed="false">
      <c r="A15" s="3" t="s">
        <v>13</v>
      </c>
      <c r="B15" s="6" t="n">
        <v>20000</v>
      </c>
    </row>
    <row r="16" customFormat="false" ht="15" hidden="false" customHeight="false" outlineLevel="0" collapsed="false">
      <c r="A16" s="3" t="s">
        <v>14</v>
      </c>
      <c r="B16" s="5" t="n">
        <v>0.3</v>
      </c>
    </row>
    <row r="18" customFormat="false" ht="15" hidden="false" customHeight="false" outlineLevel="0" collapsed="false">
      <c r="A18" s="10" t="s">
        <v>15</v>
      </c>
      <c r="C18" s="11" t="s">
        <v>16</v>
      </c>
      <c r="D18" s="11" t="s">
        <v>17</v>
      </c>
      <c r="E18" s="11" t="s">
        <v>18</v>
      </c>
      <c r="F18" s="11" t="s">
        <v>19</v>
      </c>
      <c r="G18" s="11" t="s">
        <v>20</v>
      </c>
    </row>
    <row r="19" customFormat="false" ht="15" hidden="false" customHeight="false" outlineLevel="0" collapsed="false">
      <c r="A19" s="3" t="s">
        <v>21</v>
      </c>
      <c r="C19" s="7" t="n">
        <v>25000</v>
      </c>
      <c r="D19" s="7" t="n">
        <v>70000</v>
      </c>
      <c r="E19" s="7" t="n">
        <v>160000</v>
      </c>
      <c r="F19" s="7" t="n">
        <v>320000</v>
      </c>
      <c r="G19" s="7" t="n">
        <v>550000</v>
      </c>
    </row>
    <row r="20" customFormat="false" ht="15" hidden="false" customHeight="false" outlineLevel="0" collapsed="false">
      <c r="A20" s="3" t="s">
        <v>22</v>
      </c>
      <c r="C20" s="7" t="n">
        <v>25000</v>
      </c>
      <c r="D20" s="7" t="n">
        <v>45000</v>
      </c>
      <c r="E20" s="7" t="n">
        <v>90000</v>
      </c>
      <c r="F20" s="7" t="n">
        <v>160000</v>
      </c>
      <c r="G20" s="7" t="n">
        <v>230000</v>
      </c>
    </row>
    <row r="21" customFormat="false" ht="15" hidden="false" customHeight="false" outlineLevel="0" collapsed="false">
      <c r="A21" s="3" t="s">
        <v>23</v>
      </c>
      <c r="C21" s="9" t="n">
        <v>900000</v>
      </c>
      <c r="D21" s="9" t="n">
        <v>1200000</v>
      </c>
      <c r="E21" s="9" t="n">
        <v>1900000</v>
      </c>
      <c r="F21" s="9" t="n">
        <v>3200000</v>
      </c>
      <c r="G21" s="9" t="n">
        <v>5000000</v>
      </c>
    </row>
    <row r="22" customFormat="false" ht="15" hidden="false" customHeight="false" outlineLevel="0" collapsed="false">
      <c r="A22" s="3" t="s">
        <v>24</v>
      </c>
      <c r="C22" s="9" t="n">
        <v>1100000</v>
      </c>
      <c r="D22" s="9" t="n">
        <v>1700000</v>
      </c>
      <c r="E22" s="9" t="n">
        <v>2800000</v>
      </c>
      <c r="F22" s="9" t="n">
        <v>4400000</v>
      </c>
      <c r="G22" s="9" t="n">
        <v>6500000</v>
      </c>
    </row>
    <row r="24" customFormat="false" ht="15" hidden="false" customHeight="false" outlineLevel="0" collapsed="false">
      <c r="A24" s="12" t="s">
        <v>25</v>
      </c>
    </row>
  </sheetData>
  <mergeCells count="1">
    <mergeCell ref="A1:G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32"/>
    <col collapsed="false" customWidth="true" hidden="false" outlineLevel="0" max="7" min="2" style="1" width="14"/>
  </cols>
  <sheetData>
    <row r="1" customFormat="false" ht="19.5" hidden="false" customHeight="true" outlineLevel="0" collapsed="false">
      <c r="A1" s="2" t="s">
        <v>26</v>
      </c>
      <c r="B1" s="2"/>
      <c r="C1" s="2"/>
      <c r="D1" s="2"/>
      <c r="E1" s="2"/>
      <c r="F1" s="2"/>
      <c r="G1" s="2"/>
    </row>
    <row r="2" customFormat="false" ht="15" hidden="false" customHeight="false" outlineLevel="0" collapsed="false">
      <c r="A2" s="3" t="s">
        <v>27</v>
      </c>
      <c r="B2" s="13" t="n">
        <v>0</v>
      </c>
      <c r="C2" s="13" t="n">
        <v>1</v>
      </c>
      <c r="D2" s="13" t="n">
        <v>2</v>
      </c>
      <c r="E2" s="13" t="n">
        <v>3</v>
      </c>
      <c r="F2" s="13" t="n">
        <v>4</v>
      </c>
      <c r="G2" s="13" t="n">
        <v>5</v>
      </c>
    </row>
    <row r="3" customFormat="false" ht="15" hidden="false" customHeight="false" outlineLevel="0" collapsed="false">
      <c r="A3" s="3" t="s">
        <v>28</v>
      </c>
      <c r="B3" s="14" t="n">
        <v>0</v>
      </c>
      <c r="C3" s="15" t="n">
        <f aca="false">Premissas!C19</f>
        <v>25000</v>
      </c>
      <c r="D3" s="15" t="n">
        <f aca="false">Premissas!D19</f>
        <v>70000</v>
      </c>
      <c r="E3" s="15" t="n">
        <f aca="false">Premissas!E19</f>
        <v>160000</v>
      </c>
      <c r="F3" s="15" t="n">
        <f aca="false">Premissas!F19</f>
        <v>320000</v>
      </c>
      <c r="G3" s="15" t="n">
        <f aca="false">Premissas!G19</f>
        <v>550000</v>
      </c>
    </row>
    <row r="4" customFormat="false" ht="15" hidden="false" customHeight="false" outlineLevel="0" collapsed="false">
      <c r="A4" s="3" t="s">
        <v>29</v>
      </c>
      <c r="B4" s="14" t="n">
        <v>0</v>
      </c>
      <c r="C4" s="14" t="n">
        <v>0</v>
      </c>
      <c r="D4" s="14" t="n">
        <v>0</v>
      </c>
      <c r="E4" s="14" t="n">
        <v>0</v>
      </c>
      <c r="F4" s="14" t="n">
        <v>0</v>
      </c>
      <c r="G4" s="14" t="n">
        <v>0</v>
      </c>
    </row>
    <row r="5" customFormat="false" ht="15" hidden="false" customHeight="false" outlineLevel="0" collapsed="false">
      <c r="A5" s="3" t="s">
        <v>30</v>
      </c>
      <c r="B5" s="16" t="n">
        <v>0</v>
      </c>
      <c r="C5" s="16" t="n">
        <f aca="false">C3*Premissas!$B$8</f>
        <v>625000</v>
      </c>
      <c r="D5" s="16" t="n">
        <f aca="false">D3*Premissas!$B$8</f>
        <v>1750000</v>
      </c>
      <c r="E5" s="16" t="n">
        <f aca="false">E3*Premissas!$B$8</f>
        <v>4000000</v>
      </c>
      <c r="F5" s="16" t="n">
        <f aca="false">F3*Premissas!$B$8</f>
        <v>8000000</v>
      </c>
      <c r="G5" s="16" t="n">
        <f aca="false">G3*Premissas!$B$8</f>
        <v>13750000</v>
      </c>
    </row>
    <row r="6" customFormat="false" ht="15" hidden="false" customHeight="false" outlineLevel="0" collapsed="false">
      <c r="A6" s="3" t="s">
        <v>31</v>
      </c>
      <c r="B6" s="16" t="n">
        <v>0</v>
      </c>
      <c r="C6" s="16" t="n">
        <f aca="false">C5*Premissas!$B$9</f>
        <v>187500</v>
      </c>
      <c r="D6" s="16" t="n">
        <f aca="false">D5*Premissas!$B$9</f>
        <v>525000</v>
      </c>
      <c r="E6" s="16" t="n">
        <f aca="false">E5*Premissas!$B$9</f>
        <v>1200000</v>
      </c>
      <c r="F6" s="16" t="n">
        <f aca="false">F5*Premissas!$B$9</f>
        <v>2400000</v>
      </c>
      <c r="G6" s="16" t="n">
        <f aca="false">G5*Premissas!$B$9</f>
        <v>4125000</v>
      </c>
    </row>
    <row r="7" customFormat="false" ht="15" hidden="false" customHeight="false" outlineLevel="0" collapsed="false">
      <c r="A7" s="3" t="s">
        <v>32</v>
      </c>
      <c r="B7" s="16" t="n">
        <v>0</v>
      </c>
      <c r="C7" s="17" t="n">
        <f aca="false">Premissas!C21</f>
        <v>900000</v>
      </c>
      <c r="D7" s="17" t="n">
        <f aca="false">Premissas!D21</f>
        <v>1200000</v>
      </c>
      <c r="E7" s="17" t="n">
        <f aca="false">Premissas!E21</f>
        <v>1900000</v>
      </c>
      <c r="F7" s="17" t="n">
        <f aca="false">Premissas!F21</f>
        <v>3200000</v>
      </c>
      <c r="G7" s="17" t="n">
        <f aca="false">Premissas!G21</f>
        <v>5000000</v>
      </c>
    </row>
    <row r="8" customFormat="false" ht="15" hidden="false" customHeight="false" outlineLevel="0" collapsed="false">
      <c r="A8" s="3" t="s">
        <v>33</v>
      </c>
      <c r="B8" s="17" t="n">
        <f aca="false">Premissas!$B$6</f>
        <v>380000</v>
      </c>
      <c r="C8" s="16" t="n">
        <v>0</v>
      </c>
      <c r="D8" s="16" t="n">
        <v>0</v>
      </c>
      <c r="E8" s="16" t="n">
        <v>0</v>
      </c>
      <c r="F8" s="16" t="n">
        <v>0</v>
      </c>
      <c r="G8" s="16" t="n">
        <v>0</v>
      </c>
    </row>
    <row r="9" customFormat="false" ht="15" hidden="false" customHeight="false" outlineLevel="0" collapsed="false">
      <c r="A9" s="18" t="s">
        <v>34</v>
      </c>
      <c r="B9" s="19" t="n">
        <f aca="false">B5-B6-B7-B8</f>
        <v>-380000</v>
      </c>
      <c r="C9" s="19" t="n">
        <f aca="false">C5-C6-C7-C8</f>
        <v>-462500</v>
      </c>
      <c r="D9" s="19" t="n">
        <f aca="false">D5-D6-D7-D8</f>
        <v>25000</v>
      </c>
      <c r="E9" s="19" t="n">
        <f aca="false">E5-E6-E7-E8</f>
        <v>900000</v>
      </c>
      <c r="F9" s="19" t="n">
        <f aca="false">F5-F6-F7-F8</f>
        <v>2400000</v>
      </c>
      <c r="G9" s="19" t="n">
        <f aca="false">G5-G6-G7-G8</f>
        <v>4625000</v>
      </c>
    </row>
    <row r="10" customFormat="false" ht="15" hidden="false" customHeight="false" outlineLevel="0" collapsed="false">
      <c r="A10" s="3" t="s">
        <v>35</v>
      </c>
      <c r="B10" s="16" t="n">
        <f aca="false">B9</f>
        <v>-380000</v>
      </c>
      <c r="C10" s="16" t="n">
        <f aca="false">B10+C9</f>
        <v>-842500</v>
      </c>
      <c r="D10" s="16" t="n">
        <f aca="false">C10+D9</f>
        <v>-817500</v>
      </c>
      <c r="E10" s="16" t="n">
        <f aca="false">D10+E9</f>
        <v>82500</v>
      </c>
      <c r="F10" s="16" t="n">
        <f aca="false">E10+F9</f>
        <v>2482500</v>
      </c>
      <c r="G10" s="16" t="n">
        <f aca="false">F10+G9</f>
        <v>7107500</v>
      </c>
    </row>
    <row r="11" customFormat="false" ht="15" hidden="false" customHeight="false" outlineLevel="0" collapsed="false">
      <c r="A11" s="3" t="s">
        <v>36</v>
      </c>
      <c r="B11" s="20" t="n">
        <f aca="false">1/(1+Premissas!$B$3)^B2</f>
        <v>1</v>
      </c>
      <c r="C11" s="20" t="n">
        <f aca="false">1/(1+Premissas!$B$3)^C2</f>
        <v>0.833333333333333</v>
      </c>
      <c r="D11" s="20" t="n">
        <f aca="false">1/(1+Premissas!$B$3)^D2</f>
        <v>0.694444444444444</v>
      </c>
      <c r="E11" s="20" t="n">
        <f aca="false">1/(1+Premissas!$B$3)^E2</f>
        <v>0.578703703703704</v>
      </c>
      <c r="F11" s="20" t="n">
        <f aca="false">1/(1+Premissas!$B$3)^F2</f>
        <v>0.482253086419753</v>
      </c>
      <c r="G11" s="20" t="n">
        <f aca="false">1/(1+Premissas!$B$3)^G2</f>
        <v>0.401877572016461</v>
      </c>
    </row>
    <row r="12" customFormat="false" ht="15" hidden="false" customHeight="false" outlineLevel="0" collapsed="false">
      <c r="A12" s="3" t="s">
        <v>37</v>
      </c>
      <c r="B12" s="16" t="n">
        <f aca="false">B9*B11</f>
        <v>-380000</v>
      </c>
      <c r="C12" s="16" t="n">
        <f aca="false">C9*C11</f>
        <v>-385416.666666667</v>
      </c>
      <c r="D12" s="16" t="n">
        <f aca="false">D9*D11</f>
        <v>17361.1111111111</v>
      </c>
      <c r="E12" s="16" t="n">
        <f aca="false">E9*E11</f>
        <v>520833.333333333</v>
      </c>
      <c r="F12" s="16" t="n">
        <f aca="false">F9*F11</f>
        <v>1157407.40740741</v>
      </c>
      <c r="G12" s="16" t="n">
        <f aca="false">G9*G11</f>
        <v>1858683.77057613</v>
      </c>
    </row>
    <row r="13" customFormat="false" ht="15" hidden="false" customHeight="false" outlineLevel="0" collapsed="false">
      <c r="A13" s="3" t="s">
        <v>38</v>
      </c>
      <c r="B13" s="16" t="n">
        <f aca="false">B12</f>
        <v>-380000</v>
      </c>
      <c r="C13" s="16" t="n">
        <f aca="false">B13+C12</f>
        <v>-765416.666666667</v>
      </c>
      <c r="D13" s="16" t="n">
        <f aca="false">C13+D12</f>
        <v>-748055.555555556</v>
      </c>
      <c r="E13" s="16" t="n">
        <f aca="false">D13+E12</f>
        <v>-227222.222222222</v>
      </c>
      <c r="F13" s="16" t="n">
        <f aca="false">E13+F12</f>
        <v>930185.185185185</v>
      </c>
      <c r="G13" s="16" t="n">
        <f aca="false">F13+G12</f>
        <v>2788868.95576132</v>
      </c>
    </row>
    <row r="15" customFormat="false" ht="15" hidden="false" customHeight="false" outlineLevel="0" collapsed="false">
      <c r="A15" s="18" t="s">
        <v>39</v>
      </c>
      <c r="B15" s="21" t="n">
        <f aca="false">SUM(B12:G12)</f>
        <v>2788868.95576132</v>
      </c>
    </row>
    <row r="16" customFormat="false" ht="15" hidden="false" customHeight="false" outlineLevel="0" collapsed="false">
      <c r="A16" s="18" t="s">
        <v>40</v>
      </c>
      <c r="B16" s="22" t="n">
        <f aca="false">IRR(B9:G9)</f>
        <v>0.798843591346491</v>
      </c>
    </row>
    <row r="17" customFormat="false" ht="15" hidden="false" customHeight="false" outlineLevel="0" collapsed="false">
      <c r="A17" s="18" t="s">
        <v>41</v>
      </c>
      <c r="B17" s="23" t="n">
        <f aca="false">IF(G10&lt;0,"Não recupera",(COUNTIF(B10:G10,"&lt;0")-1)+(-INDEX(B10:G10,COUNTIF(B10:G10,"&lt;0")))/INDEX(B9:G9,COUNTIF(B10:G10,"&lt;0")+1))</f>
        <v>2.90833333333333</v>
      </c>
    </row>
    <row r="18" customFormat="false" ht="15" hidden="false" customHeight="false" outlineLevel="0" collapsed="false">
      <c r="A18" s="18" t="s">
        <v>42</v>
      </c>
      <c r="B18" s="23" t="n">
        <f aca="false">IF(G13&lt;0,"Não recupera",(COUNTIF(B13:G13,"&lt;0")-1)+(-INDEX(B13:G13,COUNTIF(B13:G13,"&lt;0")))/INDEX(B12:G12,COUNTIF(B13:G13,"&lt;0")+1))</f>
        <v>3.19632</v>
      </c>
    </row>
    <row r="19" customFormat="false" ht="15" hidden="false" customHeight="false" outlineLevel="0" collapsed="false">
      <c r="A19" s="18" t="s">
        <v>43</v>
      </c>
      <c r="B19" s="23" t="n">
        <f aca="false">SUM(C12:G12)/(-B9)</f>
        <v>8.33912883095083</v>
      </c>
    </row>
    <row r="20" customFormat="false" ht="15" hidden="false" customHeight="false" outlineLevel="0" collapsed="false">
      <c r="A20" s="18" t="s">
        <v>44</v>
      </c>
      <c r="B20" s="22" t="n">
        <f aca="false">B19^(1/5)-1</f>
        <v>0.528354628970422</v>
      </c>
    </row>
    <row r="21" customFormat="false" ht="15" hidden="false" customHeight="false" outlineLevel="0" collapsed="false">
      <c r="A21" s="18" t="s">
        <v>45</v>
      </c>
      <c r="B21" s="21" t="n">
        <f aca="false">NPV(Premissas!$B$4,C9:G9)+B9</f>
        <v>3581112.71408627</v>
      </c>
    </row>
    <row r="22" customFormat="false" ht="15" hidden="false" customHeight="false" outlineLevel="0" collapsed="false">
      <c r="A22" s="18" t="s">
        <v>46</v>
      </c>
      <c r="B22" s="21" t="n">
        <f aca="false">NPV(Premissas!$B$5,C9:G9)+B9</f>
        <v>1774626.87150041</v>
      </c>
    </row>
    <row r="24" customFormat="false" ht="15" hidden="false" customHeight="false" outlineLevel="0" collapsed="false">
      <c r="A24" s="12" t="s">
        <v>47</v>
      </c>
    </row>
  </sheetData>
  <mergeCells count="1">
    <mergeCell ref="A1:G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32"/>
    <col collapsed="false" customWidth="true" hidden="false" outlineLevel="0" max="7" min="2" style="1" width="14"/>
  </cols>
  <sheetData>
    <row r="1" customFormat="false" ht="19.5" hidden="false" customHeight="true" outlineLevel="0" collapsed="false">
      <c r="A1" s="2" t="s">
        <v>48</v>
      </c>
      <c r="B1" s="2"/>
      <c r="C1" s="2"/>
      <c r="D1" s="2"/>
      <c r="E1" s="2"/>
      <c r="F1" s="2"/>
      <c r="G1" s="2"/>
    </row>
    <row r="2" customFormat="false" ht="15" hidden="false" customHeight="false" outlineLevel="0" collapsed="false">
      <c r="A2" s="3" t="s">
        <v>27</v>
      </c>
      <c r="B2" s="13" t="n">
        <v>0</v>
      </c>
      <c r="C2" s="13" t="n">
        <v>1</v>
      </c>
      <c r="D2" s="13" t="n">
        <v>2</v>
      </c>
      <c r="E2" s="13" t="n">
        <v>3</v>
      </c>
      <c r="F2" s="13" t="n">
        <v>4</v>
      </c>
      <c r="G2" s="13" t="n">
        <v>5</v>
      </c>
    </row>
    <row r="3" customFormat="false" ht="15" hidden="false" customHeight="false" outlineLevel="0" collapsed="false">
      <c r="A3" s="3" t="s">
        <v>28</v>
      </c>
      <c r="B3" s="14" t="n">
        <v>0</v>
      </c>
      <c r="C3" s="15" t="n">
        <f aca="false">Premissas!C19</f>
        <v>25000</v>
      </c>
      <c r="D3" s="15" t="n">
        <f aca="false">Premissas!D19</f>
        <v>70000</v>
      </c>
      <c r="E3" s="15" t="n">
        <f aca="false">Premissas!E19</f>
        <v>160000</v>
      </c>
      <c r="F3" s="15" t="n">
        <f aca="false">Premissas!F19</f>
        <v>320000</v>
      </c>
      <c r="G3" s="15" t="n">
        <f aca="false">Premissas!G19</f>
        <v>550000</v>
      </c>
    </row>
    <row r="4" customFormat="false" ht="15" hidden="false" customHeight="false" outlineLevel="0" collapsed="false">
      <c r="A4" s="3" t="s">
        <v>29</v>
      </c>
      <c r="B4" s="14" t="n">
        <v>0</v>
      </c>
      <c r="C4" s="14" t="n">
        <f aca="false">CEILING(C3/Premissas!$B$11,1)</f>
        <v>3</v>
      </c>
      <c r="D4" s="14" t="n">
        <f aca="false">CEILING(D3/Premissas!$B$11,1)</f>
        <v>6</v>
      </c>
      <c r="E4" s="14" t="n">
        <f aca="false">CEILING(E3/Premissas!$B$11,1)</f>
        <v>14</v>
      </c>
      <c r="F4" s="14" t="n">
        <f aca="false">CEILING(F3/Premissas!$B$11,1)</f>
        <v>27</v>
      </c>
      <c r="G4" s="14" t="n">
        <f aca="false">CEILING(G3/Premissas!$B$11,1)</f>
        <v>46</v>
      </c>
    </row>
    <row r="5" customFormat="false" ht="15" hidden="false" customHeight="false" outlineLevel="0" collapsed="false">
      <c r="A5" s="3" t="s">
        <v>30</v>
      </c>
      <c r="B5" s="16" t="n">
        <v>0</v>
      </c>
      <c r="C5" s="16" t="n">
        <f aca="false">C3*Premissas!$B$10</f>
        <v>2000000</v>
      </c>
      <c r="D5" s="16" t="n">
        <f aca="false">D3*Premissas!$B$10</f>
        <v>5600000</v>
      </c>
      <c r="E5" s="16" t="n">
        <f aca="false">E3*Premissas!$B$10</f>
        <v>12800000</v>
      </c>
      <c r="F5" s="16" t="n">
        <f aca="false">F3*Premissas!$B$10</f>
        <v>25600000</v>
      </c>
      <c r="G5" s="16" t="n">
        <f aca="false">G3*Premissas!$B$10</f>
        <v>44000000</v>
      </c>
    </row>
    <row r="6" customFormat="false" ht="15" hidden="false" customHeight="false" outlineLevel="0" collapsed="false">
      <c r="A6" s="3" t="s">
        <v>31</v>
      </c>
      <c r="B6" s="16" t="n">
        <v>0</v>
      </c>
      <c r="C6" s="16" t="n">
        <f aca="false">C5*Premissas!$B$13</f>
        <v>1440000</v>
      </c>
      <c r="D6" s="16" t="n">
        <f aca="false">D5*Premissas!$B$13</f>
        <v>4032000</v>
      </c>
      <c r="E6" s="16" t="n">
        <f aca="false">E5*Premissas!$B$13</f>
        <v>9216000</v>
      </c>
      <c r="F6" s="16" t="n">
        <f aca="false">F5*Premissas!$B$13</f>
        <v>18432000</v>
      </c>
      <c r="G6" s="16" t="n">
        <f aca="false">G5*Premissas!$B$13</f>
        <v>31680000</v>
      </c>
    </row>
    <row r="7" customFormat="false" ht="15" hidden="false" customHeight="false" outlineLevel="0" collapsed="false">
      <c r="A7" s="3" t="s">
        <v>32</v>
      </c>
      <c r="B7" s="16" t="n">
        <v>0</v>
      </c>
      <c r="C7" s="17" t="n">
        <f aca="false">Premissas!C22</f>
        <v>1100000</v>
      </c>
      <c r="D7" s="17" t="n">
        <f aca="false">Premissas!D22</f>
        <v>1700000</v>
      </c>
      <c r="E7" s="17" t="n">
        <f aca="false">Premissas!E22</f>
        <v>2800000</v>
      </c>
      <c r="F7" s="17" t="n">
        <f aca="false">Premissas!F22</f>
        <v>4400000</v>
      </c>
      <c r="G7" s="17" t="n">
        <f aca="false">Premissas!G22</f>
        <v>6500000</v>
      </c>
    </row>
    <row r="8" customFormat="false" ht="15" hidden="false" customHeight="false" outlineLevel="0" collapsed="false">
      <c r="A8" s="3" t="s">
        <v>33</v>
      </c>
      <c r="B8" s="17" t="n">
        <f aca="false">Premissas!$B$6</f>
        <v>380000</v>
      </c>
      <c r="C8" s="16" t="n">
        <f aca="false">(C4-B4)*Premissas!$B$12</f>
        <v>360000</v>
      </c>
      <c r="D8" s="16" t="n">
        <f aca="false">(D4-C4)*Premissas!$B$12</f>
        <v>360000</v>
      </c>
      <c r="E8" s="16" t="n">
        <f aca="false">(E4-D4)*Premissas!$B$12</f>
        <v>960000</v>
      </c>
      <c r="F8" s="16" t="n">
        <f aca="false">(F4-E4)*Premissas!$B$12</f>
        <v>1560000</v>
      </c>
      <c r="G8" s="16" t="n">
        <f aca="false">(G4-F4)*Premissas!$B$12</f>
        <v>2280000</v>
      </c>
    </row>
    <row r="9" customFormat="false" ht="15" hidden="false" customHeight="false" outlineLevel="0" collapsed="false">
      <c r="A9" s="18" t="s">
        <v>34</v>
      </c>
      <c r="B9" s="19" t="n">
        <f aca="false">B5-B6-B7-B8</f>
        <v>-380000</v>
      </c>
      <c r="C9" s="19" t="n">
        <f aca="false">C5-C6-C7-C8</f>
        <v>-900000</v>
      </c>
      <c r="D9" s="19" t="n">
        <f aca="false">D5-D6-D7-D8</f>
        <v>-492000</v>
      </c>
      <c r="E9" s="19" t="n">
        <f aca="false">E5-E6-E7-E8</f>
        <v>-176000</v>
      </c>
      <c r="F9" s="19" t="n">
        <f aca="false">F5-F6-F7-F8</f>
        <v>1208000</v>
      </c>
      <c r="G9" s="19" t="n">
        <f aca="false">G5-G6-G7-G8</f>
        <v>3540000</v>
      </c>
    </row>
    <row r="10" customFormat="false" ht="15" hidden="false" customHeight="false" outlineLevel="0" collapsed="false">
      <c r="A10" s="3" t="s">
        <v>35</v>
      </c>
      <c r="B10" s="16" t="n">
        <f aca="false">B9</f>
        <v>-380000</v>
      </c>
      <c r="C10" s="16" t="n">
        <f aca="false">B10+C9</f>
        <v>-1280000</v>
      </c>
      <c r="D10" s="16" t="n">
        <f aca="false">C10+D9</f>
        <v>-1772000</v>
      </c>
      <c r="E10" s="16" t="n">
        <f aca="false">D10+E9</f>
        <v>-1948000</v>
      </c>
      <c r="F10" s="16" t="n">
        <f aca="false">E10+F9</f>
        <v>-740000</v>
      </c>
      <c r="G10" s="16" t="n">
        <f aca="false">F10+G9</f>
        <v>2800000</v>
      </c>
    </row>
    <row r="11" customFormat="false" ht="15" hidden="false" customHeight="false" outlineLevel="0" collapsed="false">
      <c r="A11" s="3" t="s">
        <v>36</v>
      </c>
      <c r="B11" s="20" t="n">
        <f aca="false">1/(1+Premissas!$B$3)^B2</f>
        <v>1</v>
      </c>
      <c r="C11" s="20" t="n">
        <f aca="false">1/(1+Premissas!$B$3)^C2</f>
        <v>0.833333333333333</v>
      </c>
      <c r="D11" s="20" t="n">
        <f aca="false">1/(1+Premissas!$B$3)^D2</f>
        <v>0.694444444444444</v>
      </c>
      <c r="E11" s="20" t="n">
        <f aca="false">1/(1+Premissas!$B$3)^E2</f>
        <v>0.578703703703704</v>
      </c>
      <c r="F11" s="20" t="n">
        <f aca="false">1/(1+Premissas!$B$3)^F2</f>
        <v>0.482253086419753</v>
      </c>
      <c r="G11" s="20" t="n">
        <f aca="false">1/(1+Premissas!$B$3)^G2</f>
        <v>0.401877572016461</v>
      </c>
    </row>
    <row r="12" customFormat="false" ht="15" hidden="false" customHeight="false" outlineLevel="0" collapsed="false">
      <c r="A12" s="3" t="s">
        <v>37</v>
      </c>
      <c r="B12" s="16" t="n">
        <f aca="false">B9*B11</f>
        <v>-380000</v>
      </c>
      <c r="C12" s="16" t="n">
        <f aca="false">C9*C11</f>
        <v>-750000</v>
      </c>
      <c r="D12" s="16" t="n">
        <f aca="false">D9*D11</f>
        <v>-341666.666666667</v>
      </c>
      <c r="E12" s="16" t="n">
        <f aca="false">E9*E11</f>
        <v>-101851.851851852</v>
      </c>
      <c r="F12" s="16" t="n">
        <f aca="false">F9*F11</f>
        <v>582561.728395062</v>
      </c>
      <c r="G12" s="16" t="n">
        <f aca="false">G9*G11</f>
        <v>1422646.60493827</v>
      </c>
    </row>
    <row r="13" customFormat="false" ht="15" hidden="false" customHeight="false" outlineLevel="0" collapsed="false">
      <c r="A13" s="3" t="s">
        <v>38</v>
      </c>
      <c r="B13" s="16" t="n">
        <f aca="false">B12</f>
        <v>-380000</v>
      </c>
      <c r="C13" s="16" t="n">
        <f aca="false">B13+C12</f>
        <v>-1130000</v>
      </c>
      <c r="D13" s="16" t="n">
        <f aca="false">C13+D12</f>
        <v>-1471666.66666667</v>
      </c>
      <c r="E13" s="16" t="n">
        <f aca="false">D13+E12</f>
        <v>-1573518.51851852</v>
      </c>
      <c r="F13" s="16" t="n">
        <f aca="false">E13+F12</f>
        <v>-990956.790123457</v>
      </c>
      <c r="G13" s="16" t="n">
        <f aca="false">F13+G12</f>
        <v>431689.814814815</v>
      </c>
    </row>
    <row r="15" customFormat="false" ht="15" hidden="false" customHeight="false" outlineLevel="0" collapsed="false">
      <c r="A15" s="18" t="s">
        <v>39</v>
      </c>
      <c r="B15" s="21" t="n">
        <f aca="false">SUM(B12:G12)</f>
        <v>431689.814814815</v>
      </c>
    </row>
    <row r="16" customFormat="false" ht="15" hidden="false" customHeight="false" outlineLevel="0" collapsed="false">
      <c r="A16" s="18" t="s">
        <v>40</v>
      </c>
      <c r="B16" s="22" t="n">
        <f aca="false">IRR(B9:G9)</f>
        <v>0.283096409687926</v>
      </c>
    </row>
    <row r="17" customFormat="false" ht="15" hidden="false" customHeight="false" outlineLevel="0" collapsed="false">
      <c r="A17" s="18" t="s">
        <v>41</v>
      </c>
      <c r="B17" s="23" t="n">
        <f aca="false">IF(G10&lt;0,"Não recupera",(COUNTIF(B10:G10,"&lt;0")-1)+(-INDEX(B10:G10,COUNTIF(B10:G10,"&lt;0")))/INDEX(B9:G9,COUNTIF(B10:G10,"&lt;0")+1))</f>
        <v>4.2090395480226</v>
      </c>
    </row>
    <row r="18" customFormat="false" ht="15" hidden="false" customHeight="false" outlineLevel="0" collapsed="false">
      <c r="A18" s="18" t="s">
        <v>42</v>
      </c>
      <c r="B18" s="23" t="n">
        <f aca="false">IF(G13&lt;0,"Não recupera",(COUNTIF(B13:G13,"&lt;0")-1)+(-INDEX(B13:G13,COUNTIF(B13:G13,"&lt;0")))/INDEX(B12:G12,COUNTIF(B13:G13,"&lt;0")+1))</f>
        <v>4.6965586440678</v>
      </c>
    </row>
    <row r="19" customFormat="false" ht="15" hidden="false" customHeight="false" outlineLevel="0" collapsed="false">
      <c r="A19" s="18" t="s">
        <v>43</v>
      </c>
      <c r="B19" s="23" t="n">
        <f aca="false">SUM(C12:G12)/(-B9)</f>
        <v>2.13602582846004</v>
      </c>
    </row>
    <row r="20" customFormat="false" ht="15" hidden="false" customHeight="false" outlineLevel="0" collapsed="false">
      <c r="A20" s="18" t="s">
        <v>44</v>
      </c>
      <c r="B20" s="22" t="n">
        <f aca="false">B19^(1/5)-1</f>
        <v>0.163915093127434</v>
      </c>
    </row>
    <row r="21" customFormat="false" ht="15" hidden="false" customHeight="false" outlineLevel="0" collapsed="false">
      <c r="A21" s="18" t="s">
        <v>45</v>
      </c>
      <c r="B21" s="21" t="n">
        <f aca="false">NPV(Premissas!$B$4,C9:G9)+B9</f>
        <v>843041.624048174</v>
      </c>
    </row>
    <row r="22" customFormat="false" ht="15" hidden="false" customHeight="false" outlineLevel="0" collapsed="false">
      <c r="A22" s="18" t="s">
        <v>46</v>
      </c>
      <c r="B22" s="21" t="n">
        <f aca="false">NPV(Premissas!$B$5,C9:G9)+B9</f>
        <v>-67161.8910132969</v>
      </c>
    </row>
    <row r="24" customFormat="false" ht="15" hidden="false" customHeight="false" outlineLevel="0" collapsed="false">
      <c r="A24" s="12" t="s">
        <v>47</v>
      </c>
    </row>
  </sheetData>
  <mergeCells count="1">
    <mergeCell ref="A1:G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32"/>
    <col collapsed="false" customWidth="true" hidden="false" outlineLevel="0" max="7" min="2" style="1" width="14"/>
  </cols>
  <sheetData>
    <row r="1" customFormat="false" ht="19.5" hidden="false" customHeight="true" outlineLevel="0" collapsed="false">
      <c r="A1" s="2" t="s">
        <v>49</v>
      </c>
      <c r="B1" s="2"/>
      <c r="C1" s="2"/>
      <c r="D1" s="2"/>
      <c r="E1" s="2"/>
      <c r="F1" s="2"/>
      <c r="G1" s="2"/>
    </row>
    <row r="2" customFormat="false" ht="15" hidden="false" customHeight="false" outlineLevel="0" collapsed="false">
      <c r="A2" s="3" t="s">
        <v>27</v>
      </c>
      <c r="B2" s="13" t="n">
        <v>0</v>
      </c>
      <c r="C2" s="13" t="n">
        <v>1</v>
      </c>
      <c r="D2" s="13" t="n">
        <v>2</v>
      </c>
      <c r="E2" s="13" t="n">
        <v>3</v>
      </c>
      <c r="F2" s="13" t="n">
        <v>4</v>
      </c>
      <c r="G2" s="13" t="n">
        <v>5</v>
      </c>
    </row>
    <row r="3" customFormat="false" ht="15" hidden="false" customHeight="false" outlineLevel="0" collapsed="false">
      <c r="A3" s="3" t="s">
        <v>28</v>
      </c>
      <c r="B3" s="14" t="n">
        <v>0</v>
      </c>
      <c r="C3" s="15" t="n">
        <f aca="false">Premissas!C19</f>
        <v>25000</v>
      </c>
      <c r="D3" s="15" t="n">
        <f aca="false">Premissas!D19</f>
        <v>70000</v>
      </c>
      <c r="E3" s="15" t="n">
        <f aca="false">Premissas!E19</f>
        <v>160000</v>
      </c>
      <c r="F3" s="15" t="n">
        <f aca="false">Premissas!F19</f>
        <v>320000</v>
      </c>
      <c r="G3" s="15" t="n">
        <f aca="false">Premissas!G19</f>
        <v>550000</v>
      </c>
    </row>
    <row r="4" customFormat="false" ht="15" hidden="false" customHeight="false" outlineLevel="0" collapsed="false">
      <c r="A4" s="3" t="s">
        <v>29</v>
      </c>
      <c r="B4" s="14" t="n">
        <v>0</v>
      </c>
      <c r="C4" s="14" t="n">
        <v>0</v>
      </c>
      <c r="D4" s="14" t="n">
        <v>0</v>
      </c>
      <c r="E4" s="14" t="n">
        <v>0</v>
      </c>
      <c r="F4" s="14" t="n">
        <v>0</v>
      </c>
      <c r="G4" s="14" t="n">
        <v>0</v>
      </c>
    </row>
    <row r="5" customFormat="false" ht="15" hidden="false" customHeight="false" outlineLevel="0" collapsed="false">
      <c r="A5" s="3" t="s">
        <v>30</v>
      </c>
      <c r="B5" s="16" t="n">
        <v>0</v>
      </c>
      <c r="C5" s="16" t="n">
        <f aca="false">C3*Premissas!$B$14+(Premissas!C20/Premissas!$B$7)*Premissas!$B$15</f>
        <v>716666.666666667</v>
      </c>
      <c r="D5" s="16" t="n">
        <f aca="false">D3*Premissas!$B$14+(Premissas!D20/Premissas!$B$7)*Premissas!$B$15</f>
        <v>1840000</v>
      </c>
      <c r="E5" s="16" t="n">
        <f aca="false">E3*Premissas!$B$14+(Premissas!E20/Premissas!$B$7)*Premissas!$B$15</f>
        <v>4120000</v>
      </c>
      <c r="F5" s="16" t="n">
        <f aca="false">F3*Premissas!$B$14+(Premissas!F20/Premissas!$B$7)*Premissas!$B$15</f>
        <v>8106666.66666667</v>
      </c>
      <c r="G5" s="16" t="n">
        <f aca="false">G3*Premissas!$B$14+(Premissas!G20/Premissas!$B$7)*Premissas!$B$15</f>
        <v>13633333.3333333</v>
      </c>
    </row>
    <row r="6" customFormat="false" ht="15" hidden="false" customHeight="false" outlineLevel="0" collapsed="false">
      <c r="A6" s="3" t="s">
        <v>31</v>
      </c>
      <c r="B6" s="16" t="n">
        <v>0</v>
      </c>
      <c r="C6" s="16" t="n">
        <f aca="false">C5*Premissas!$B$16</f>
        <v>215000</v>
      </c>
      <c r="D6" s="16" t="n">
        <f aca="false">D5*Premissas!$B$16</f>
        <v>552000</v>
      </c>
      <c r="E6" s="16" t="n">
        <f aca="false">E5*Premissas!$B$16</f>
        <v>1236000</v>
      </c>
      <c r="F6" s="16" t="n">
        <f aca="false">F5*Premissas!$B$16</f>
        <v>2432000</v>
      </c>
      <c r="G6" s="16" t="n">
        <f aca="false">G5*Premissas!$B$16</f>
        <v>4090000</v>
      </c>
    </row>
    <row r="7" customFormat="false" ht="15" hidden="false" customHeight="false" outlineLevel="0" collapsed="false">
      <c r="A7" s="3" t="s">
        <v>32</v>
      </c>
      <c r="B7" s="16" t="n">
        <v>0</v>
      </c>
      <c r="C7" s="17" t="n">
        <f aca="false">Premissas!C21</f>
        <v>900000</v>
      </c>
      <c r="D7" s="17" t="n">
        <f aca="false">Premissas!D21</f>
        <v>1200000</v>
      </c>
      <c r="E7" s="17" t="n">
        <f aca="false">Premissas!E21</f>
        <v>1900000</v>
      </c>
      <c r="F7" s="17" t="n">
        <f aca="false">Premissas!F21</f>
        <v>3200000</v>
      </c>
      <c r="G7" s="17" t="n">
        <f aca="false">Premissas!G21</f>
        <v>5000000</v>
      </c>
    </row>
    <row r="8" customFormat="false" ht="15" hidden="false" customHeight="false" outlineLevel="0" collapsed="false">
      <c r="A8" s="3" t="s">
        <v>33</v>
      </c>
      <c r="B8" s="17" t="n">
        <f aca="false">Premissas!$B$6</f>
        <v>380000</v>
      </c>
      <c r="C8" s="16" t="n">
        <v>0</v>
      </c>
      <c r="D8" s="16" t="n">
        <v>0</v>
      </c>
      <c r="E8" s="16" t="n">
        <v>0</v>
      </c>
      <c r="F8" s="16" t="n">
        <v>0</v>
      </c>
      <c r="G8" s="16" t="n">
        <v>0</v>
      </c>
    </row>
    <row r="9" customFormat="false" ht="15" hidden="false" customHeight="false" outlineLevel="0" collapsed="false">
      <c r="A9" s="18" t="s">
        <v>34</v>
      </c>
      <c r="B9" s="19" t="n">
        <f aca="false">B5-B6-B7-B8</f>
        <v>-380000</v>
      </c>
      <c r="C9" s="19" t="n">
        <f aca="false">C5-C6-C7-C8</f>
        <v>-398333.333333333</v>
      </c>
      <c r="D9" s="19" t="n">
        <f aca="false">D5-D6-D7-D8</f>
        <v>88000</v>
      </c>
      <c r="E9" s="19" t="n">
        <f aca="false">E5-E6-E7-E8</f>
        <v>984000</v>
      </c>
      <c r="F9" s="19" t="n">
        <f aca="false">F5-F6-F7-F8</f>
        <v>2474666.66666667</v>
      </c>
      <c r="G9" s="19" t="n">
        <f aca="false">G5-G6-G7-G8</f>
        <v>4543333.33333333</v>
      </c>
    </row>
    <row r="10" customFormat="false" ht="15" hidden="false" customHeight="false" outlineLevel="0" collapsed="false">
      <c r="A10" s="3" t="s">
        <v>35</v>
      </c>
      <c r="B10" s="16" t="n">
        <f aca="false">B9</f>
        <v>-380000</v>
      </c>
      <c r="C10" s="16" t="n">
        <f aca="false">B10+C9</f>
        <v>-778333.333333333</v>
      </c>
      <c r="D10" s="16" t="n">
        <f aca="false">C10+D9</f>
        <v>-690333.333333333</v>
      </c>
      <c r="E10" s="16" t="n">
        <f aca="false">D10+E9</f>
        <v>293666.666666667</v>
      </c>
      <c r="F10" s="16" t="n">
        <f aca="false">E10+F9</f>
        <v>2768333.33333333</v>
      </c>
      <c r="G10" s="16" t="n">
        <f aca="false">F10+G9</f>
        <v>7311666.66666667</v>
      </c>
    </row>
    <row r="11" customFormat="false" ht="15" hidden="false" customHeight="false" outlineLevel="0" collapsed="false">
      <c r="A11" s="3" t="s">
        <v>36</v>
      </c>
      <c r="B11" s="20" t="n">
        <f aca="false">1/(1+Premissas!$B$3)^B2</f>
        <v>1</v>
      </c>
      <c r="C11" s="20" t="n">
        <f aca="false">1/(1+Premissas!$B$3)^C2</f>
        <v>0.833333333333333</v>
      </c>
      <c r="D11" s="20" t="n">
        <f aca="false">1/(1+Premissas!$B$3)^D2</f>
        <v>0.694444444444444</v>
      </c>
      <c r="E11" s="20" t="n">
        <f aca="false">1/(1+Premissas!$B$3)^E2</f>
        <v>0.578703703703704</v>
      </c>
      <c r="F11" s="20" t="n">
        <f aca="false">1/(1+Premissas!$B$3)^F2</f>
        <v>0.482253086419753</v>
      </c>
      <c r="G11" s="20" t="n">
        <f aca="false">1/(1+Premissas!$B$3)^G2</f>
        <v>0.401877572016461</v>
      </c>
    </row>
    <row r="12" customFormat="false" ht="15" hidden="false" customHeight="false" outlineLevel="0" collapsed="false">
      <c r="A12" s="3" t="s">
        <v>37</v>
      </c>
      <c r="B12" s="16" t="n">
        <f aca="false">B9*B11</f>
        <v>-380000</v>
      </c>
      <c r="C12" s="16" t="n">
        <f aca="false">C9*C11</f>
        <v>-331944.444444444</v>
      </c>
      <c r="D12" s="16" t="n">
        <f aca="false">D9*D11</f>
        <v>61111.1111111111</v>
      </c>
      <c r="E12" s="16" t="n">
        <f aca="false">E9*E11</f>
        <v>569444.444444445</v>
      </c>
      <c r="F12" s="16" t="n">
        <f aca="false">F9*F11</f>
        <v>1193415.63786008</v>
      </c>
      <c r="G12" s="16" t="n">
        <f aca="false">G9*G11</f>
        <v>1825863.76886146</v>
      </c>
    </row>
    <row r="13" customFormat="false" ht="15" hidden="false" customHeight="false" outlineLevel="0" collapsed="false">
      <c r="A13" s="3" t="s">
        <v>38</v>
      </c>
      <c r="B13" s="16" t="n">
        <f aca="false">B12</f>
        <v>-380000</v>
      </c>
      <c r="C13" s="16" t="n">
        <f aca="false">B13+C12</f>
        <v>-711944.444444444</v>
      </c>
      <c r="D13" s="16" t="n">
        <f aca="false">C13+D12</f>
        <v>-650833.333333333</v>
      </c>
      <c r="E13" s="16" t="n">
        <f aca="false">D13+E12</f>
        <v>-81388.8888888886</v>
      </c>
      <c r="F13" s="16" t="n">
        <f aca="false">E13+F12</f>
        <v>1112026.74897119</v>
      </c>
      <c r="G13" s="16" t="n">
        <f aca="false">F13+G12</f>
        <v>2937890.51783265</v>
      </c>
    </row>
    <row r="15" customFormat="false" ht="15" hidden="false" customHeight="false" outlineLevel="0" collapsed="false">
      <c r="A15" s="18" t="s">
        <v>39</v>
      </c>
      <c r="B15" s="21" t="n">
        <f aca="false">SUM(B12:G12)</f>
        <v>2937890.51783265</v>
      </c>
    </row>
    <row r="16" customFormat="false" ht="15" hidden="false" customHeight="false" outlineLevel="0" collapsed="false">
      <c r="A16" s="18" t="s">
        <v>40</v>
      </c>
      <c r="B16" s="22" t="n">
        <f aca="false">IRR(B9:G9)</f>
        <v>0.855721787133331</v>
      </c>
    </row>
    <row r="17" customFormat="false" ht="15" hidden="false" customHeight="false" outlineLevel="0" collapsed="false">
      <c r="A17" s="18" t="s">
        <v>41</v>
      </c>
      <c r="B17" s="23" t="n">
        <f aca="false">IF(G10&lt;0,"Não recupera",(COUNTIF(B10:G10,"&lt;0")-1)+(-INDEX(B10:G10,COUNTIF(B10:G10,"&lt;0")))/INDEX(B9:G9,COUNTIF(B10:G10,"&lt;0")+1))</f>
        <v>2.70155826558266</v>
      </c>
    </row>
    <row r="18" customFormat="false" ht="15" hidden="false" customHeight="false" outlineLevel="0" collapsed="false">
      <c r="A18" s="18" t="s">
        <v>42</v>
      </c>
      <c r="B18" s="23" t="n">
        <f aca="false">IF(G13&lt;0,"Não recupera",(COUNTIF(B13:G13,"&lt;0")-1)+(-INDEX(B13:G13,COUNTIF(B13:G13,"&lt;0")))/INDEX(B12:G12,COUNTIF(B13:G13,"&lt;0")+1))</f>
        <v>3.06819827586207</v>
      </c>
    </row>
    <row r="19" customFormat="false" ht="15" hidden="false" customHeight="false" outlineLevel="0" collapsed="false">
      <c r="A19" s="18" t="s">
        <v>43</v>
      </c>
      <c r="B19" s="23" t="n">
        <f aca="false">SUM(C12:G12)/(-B9)</f>
        <v>8.73129083640171</v>
      </c>
    </row>
    <row r="20" customFormat="false" ht="15" hidden="false" customHeight="false" outlineLevel="0" collapsed="false">
      <c r="A20" s="18" t="s">
        <v>44</v>
      </c>
      <c r="B20" s="22" t="n">
        <f aca="false">B19^(1/5)-1</f>
        <v>0.542466323602093</v>
      </c>
    </row>
    <row r="21" customFormat="false" ht="15" hidden="false" customHeight="false" outlineLevel="0" collapsed="false">
      <c r="A21" s="18" t="s">
        <v>45</v>
      </c>
      <c r="B21" s="21" t="n">
        <f aca="false">NPV(Premissas!$B$4,C9:G9)+B9</f>
        <v>3743109.99125101</v>
      </c>
    </row>
    <row r="22" customFormat="false" ht="15" hidden="false" customHeight="false" outlineLevel="0" collapsed="false">
      <c r="A22" s="18" t="s">
        <v>46</v>
      </c>
      <c r="B22" s="21" t="n">
        <f aca="false">NPV(Premissas!$B$5,C9:G9)+B9</f>
        <v>1903645.57550685</v>
      </c>
    </row>
    <row r="24" customFormat="false" ht="15" hidden="false" customHeight="false" outlineLevel="0" collapsed="false">
      <c r="A24" s="12" t="s">
        <v>47</v>
      </c>
    </row>
  </sheetData>
  <mergeCells count="1">
    <mergeCell ref="A1:G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30"/>
    <col collapsed="false" customWidth="true" hidden="false" outlineLevel="0" max="4" min="2" style="1" width="22"/>
  </cols>
  <sheetData>
    <row r="1" customFormat="false" ht="19.5" hidden="false" customHeight="true" outlineLevel="0" collapsed="false">
      <c r="A1" s="2" t="s">
        <v>50</v>
      </c>
      <c r="B1" s="2"/>
      <c r="C1" s="2"/>
      <c r="D1" s="2"/>
    </row>
    <row r="3" customFormat="false" ht="26.85" hidden="false" customHeight="false" outlineLevel="0" collapsed="false">
      <c r="A3" s="24" t="s">
        <v>51</v>
      </c>
      <c r="B3" s="24" t="s">
        <v>52</v>
      </c>
      <c r="C3" s="24" t="s">
        <v>53</v>
      </c>
      <c r="D3" s="24" t="s">
        <v>54</v>
      </c>
    </row>
    <row r="4" customFormat="false" ht="15" hidden="false" customHeight="false" outlineLevel="0" collapsed="false">
      <c r="A4" s="18" t="s">
        <v>55</v>
      </c>
      <c r="B4" s="17" t="n">
        <f aca="false">-'Modelo A — SaaS'!B9</f>
        <v>380000</v>
      </c>
      <c r="C4" s="17" t="n">
        <f aca="false">-'Modelo B — DaaS'!B9</f>
        <v>380000</v>
      </c>
      <c r="D4" s="17" t="n">
        <f aca="false">-'Modelo C — Híbrido'!B9</f>
        <v>380000</v>
      </c>
    </row>
    <row r="5" customFormat="false" ht="15" hidden="false" customHeight="false" outlineLevel="0" collapsed="false">
      <c r="A5" s="18" t="s">
        <v>56</v>
      </c>
      <c r="B5" s="25" t="n">
        <f aca="false">'Modelo A — SaaS'!B15</f>
        <v>2788868.95576132</v>
      </c>
      <c r="C5" s="25" t="n">
        <f aca="false">'Modelo B — DaaS'!B15</f>
        <v>431689.814814815</v>
      </c>
      <c r="D5" s="25" t="n">
        <f aca="false">'Modelo C — Híbrido'!B15</f>
        <v>2937890.51783265</v>
      </c>
    </row>
    <row r="6" customFormat="false" ht="15" hidden="false" customHeight="false" outlineLevel="0" collapsed="false">
      <c r="A6" s="18" t="s">
        <v>57</v>
      </c>
      <c r="B6" s="17" t="n">
        <f aca="false">'Modelo A — SaaS'!B21</f>
        <v>3581112.71408627</v>
      </c>
      <c r="C6" s="17" t="n">
        <f aca="false">'Modelo B — DaaS'!B21</f>
        <v>843041.624048174</v>
      </c>
      <c r="D6" s="17" t="n">
        <f aca="false">'Modelo C — Híbrido'!B21</f>
        <v>3743109.99125101</v>
      </c>
    </row>
    <row r="7" customFormat="false" ht="15" hidden="false" customHeight="false" outlineLevel="0" collapsed="false">
      <c r="A7" s="18" t="s">
        <v>58</v>
      </c>
      <c r="B7" s="17" t="n">
        <f aca="false">'Modelo A — SaaS'!B22</f>
        <v>1774626.87150041</v>
      </c>
      <c r="C7" s="17" t="n">
        <f aca="false">'Modelo B — DaaS'!B22</f>
        <v>-67161.8910132969</v>
      </c>
      <c r="D7" s="17" t="n">
        <f aca="false">'Modelo C — Híbrido'!B22</f>
        <v>1903645.57550685</v>
      </c>
    </row>
    <row r="8" customFormat="false" ht="15" hidden="false" customHeight="false" outlineLevel="0" collapsed="false">
      <c r="A8" s="18" t="s">
        <v>40</v>
      </c>
      <c r="B8" s="26" t="n">
        <f aca="false">'Modelo A — SaaS'!B16</f>
        <v>0.798843591346491</v>
      </c>
      <c r="C8" s="26" t="n">
        <f aca="false">'Modelo B — DaaS'!B16</f>
        <v>0.283096409687926</v>
      </c>
      <c r="D8" s="26" t="n">
        <f aca="false">'Modelo C — Híbrido'!B16</f>
        <v>0.855721787133331</v>
      </c>
    </row>
    <row r="9" customFormat="false" ht="15" hidden="false" customHeight="false" outlineLevel="0" collapsed="false">
      <c r="A9" s="18" t="s">
        <v>41</v>
      </c>
      <c r="B9" s="20" t="n">
        <f aca="false">'Modelo A — SaaS'!B17</f>
        <v>2.90833333333333</v>
      </c>
      <c r="C9" s="20" t="n">
        <f aca="false">'Modelo B — DaaS'!B17</f>
        <v>4.2090395480226</v>
      </c>
      <c r="D9" s="20" t="n">
        <f aca="false">'Modelo C — Híbrido'!B17</f>
        <v>2.70155826558266</v>
      </c>
    </row>
    <row r="10" customFormat="false" ht="15" hidden="false" customHeight="false" outlineLevel="0" collapsed="false">
      <c r="A10" s="18" t="s">
        <v>42</v>
      </c>
      <c r="B10" s="20" t="n">
        <f aca="false">'Modelo A — SaaS'!B18</f>
        <v>3.19632</v>
      </c>
      <c r="C10" s="20" t="n">
        <f aca="false">'Modelo B — DaaS'!B18</f>
        <v>4.6965586440678</v>
      </c>
      <c r="D10" s="20" t="n">
        <f aca="false">'Modelo C — Híbrido'!B18</f>
        <v>3.06819827586207</v>
      </c>
    </row>
    <row r="11" customFormat="false" ht="15" hidden="false" customHeight="false" outlineLevel="0" collapsed="false">
      <c r="A11" s="18" t="s">
        <v>59</v>
      </c>
      <c r="B11" s="20" t="n">
        <f aca="false">'Modelo A — SaaS'!B19</f>
        <v>8.33912883095083</v>
      </c>
      <c r="C11" s="20" t="n">
        <f aca="false">'Modelo B — DaaS'!B19</f>
        <v>2.13602582846004</v>
      </c>
      <c r="D11" s="20" t="n">
        <f aca="false">'Modelo C — Híbrido'!B19</f>
        <v>8.73129083640171</v>
      </c>
    </row>
    <row r="12" customFormat="false" ht="15" hidden="false" customHeight="false" outlineLevel="0" collapsed="false">
      <c r="A12" s="18" t="s">
        <v>44</v>
      </c>
      <c r="B12" s="26" t="n">
        <f aca="false">'Modelo A — SaaS'!B20</f>
        <v>0.528354628970422</v>
      </c>
      <c r="C12" s="26" t="n">
        <f aca="false">'Modelo B — DaaS'!B20</f>
        <v>0.163915093127434</v>
      </c>
      <c r="D12" s="26" t="n">
        <f aca="false">'Modelo C — Híbrido'!B20</f>
        <v>0.542466323602093</v>
      </c>
    </row>
    <row r="15" customFormat="false" ht="15" hidden="false" customHeight="false" outlineLevel="0" collapsed="false">
      <c r="A15" s="27" t="s">
        <v>60</v>
      </c>
      <c r="B15" s="27"/>
      <c r="C15" s="27"/>
      <c r="D15" s="27"/>
    </row>
  </sheetData>
  <mergeCells count="2">
    <mergeCell ref="A1:D1"/>
    <mergeCell ref="A15:D15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2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32"/>
    <col collapsed="false" customWidth="true" hidden="false" outlineLevel="0" max="4" min="2" style="1" width="16"/>
  </cols>
  <sheetData>
    <row r="1" customFormat="false" ht="19.5" hidden="false" customHeight="true" outlineLevel="0" collapsed="false">
      <c r="A1" s="2" t="s">
        <v>61</v>
      </c>
      <c r="B1" s="2"/>
      <c r="C1" s="2"/>
      <c r="D1" s="2"/>
    </row>
    <row r="3" customFormat="false" ht="15" hidden="false" customHeight="false" outlineLevel="0" collapsed="false">
      <c r="A3" s="10" t="s">
        <v>62</v>
      </c>
      <c r="B3" s="11" t="s">
        <v>63</v>
      </c>
      <c r="C3" s="11" t="s">
        <v>64</v>
      </c>
      <c r="D3" s="11" t="s">
        <v>65</v>
      </c>
    </row>
    <row r="4" customFormat="false" ht="15" hidden="false" customHeight="false" outlineLevel="0" collapsed="false">
      <c r="A4" s="3" t="s">
        <v>66</v>
      </c>
      <c r="B4" s="28" t="n">
        <v>0.6</v>
      </c>
      <c r="C4" s="28" t="n">
        <v>1</v>
      </c>
      <c r="D4" s="28" t="n">
        <v>1.25</v>
      </c>
    </row>
    <row r="5" customFormat="false" ht="15" hidden="false" customHeight="false" outlineLevel="0" collapsed="false">
      <c r="A5" s="3" t="s">
        <v>67</v>
      </c>
      <c r="B5" s="28" t="n">
        <v>0.85</v>
      </c>
      <c r="C5" s="28" t="n">
        <v>1</v>
      </c>
      <c r="D5" s="28" t="n">
        <v>1.1</v>
      </c>
    </row>
    <row r="6" customFormat="false" ht="15" hidden="false" customHeight="false" outlineLevel="0" collapsed="false">
      <c r="A6" s="3" t="s">
        <v>68</v>
      </c>
      <c r="B6" s="28" t="n">
        <v>0.8</v>
      </c>
      <c r="C6" s="28" t="n">
        <v>1</v>
      </c>
      <c r="D6" s="28" t="n">
        <v>1.05</v>
      </c>
    </row>
    <row r="8" customFormat="false" ht="15" hidden="false" customHeight="false" outlineLevel="0" collapsed="false">
      <c r="A8" s="18" t="s">
        <v>69</v>
      </c>
    </row>
    <row r="9" customFormat="false" ht="15" hidden="false" customHeight="false" outlineLevel="0" collapsed="false">
      <c r="A9" s="1" t="s">
        <v>70</v>
      </c>
      <c r="B9" s="17" t="n">
        <f aca="false">-Premissas!$B$6</f>
        <v>-380000</v>
      </c>
      <c r="C9" s="17" t="n">
        <f aca="false">-Premissas!$B$6</f>
        <v>-380000</v>
      </c>
      <c r="D9" s="17" t="n">
        <f aca="false">-Premissas!$B$6</f>
        <v>-380000</v>
      </c>
    </row>
    <row r="10" customFormat="false" ht="15" hidden="false" customHeight="false" outlineLevel="0" collapsed="false">
      <c r="A10" s="1" t="s">
        <v>16</v>
      </c>
      <c r="B10" s="16" t="n">
        <f aca="false">((Premissas!$C$19*B$4*Premissas!$B$14*B$5)+((Premissas!$C$20*B$4/Premissas!$B$7)*Premissas!$B$15))*(1-Premissas!$B$16)-Premissas!$C$21*B$6</f>
        <v>-453650</v>
      </c>
      <c r="C10" s="16" t="n">
        <f aca="false">((Premissas!$C$19*C$4*Premissas!$B$14*C$5)+((Premissas!$C$20*C$4/Premissas!$B$7)*Premissas!$B$15))*(1-Premissas!$B$16)-Premissas!$C$21*C$6</f>
        <v>-398333.333333333</v>
      </c>
      <c r="D10" s="16" t="n">
        <f aca="false">((Premissas!$C$19*D$4*Premissas!$B$14*D$5)+((Premissas!$C$20*D$4/Premissas!$B$7)*Premissas!$B$15))*(1-Premissas!$B$16)-Premissas!$C$21*D$6</f>
        <v>-269791.666666667</v>
      </c>
    </row>
    <row r="11" customFormat="false" ht="15" hidden="false" customHeight="false" outlineLevel="0" collapsed="false">
      <c r="A11" s="1" t="s">
        <v>17</v>
      </c>
      <c r="B11" s="16" t="n">
        <f aca="false">((Premissas!$D$19*B$4*Premissas!$B$14*B$5)+((Premissas!$D$20*B$4/Premissas!$B$7)*Premissas!$B$15))*(1-Premissas!$B$16)-Premissas!$D$21*B$6</f>
        <v>-284220</v>
      </c>
      <c r="C11" s="16" t="n">
        <f aca="false">((Premissas!$D$19*C$4*Premissas!$B$14*C$5)+((Premissas!$D$20*C$4/Premissas!$B$7)*Premissas!$B$15))*(1-Premissas!$B$16)-Premissas!$D$21*C$6</f>
        <v>88000</v>
      </c>
      <c r="D11" s="16" t="n">
        <f aca="false">((Premissas!$D$19*D$4*Premissas!$B$14*D$5)+((Premissas!$D$20*D$4/Premissas!$B$7)*Premissas!$B$15))*(1-Premissas!$B$16)-Premissas!$D$21*D$6</f>
        <v>484750</v>
      </c>
    </row>
    <row r="12" customFormat="false" ht="15" hidden="false" customHeight="false" outlineLevel="0" collapsed="false">
      <c r="A12" s="1" t="s">
        <v>18</v>
      </c>
      <c r="B12" s="16" t="n">
        <f aca="false">((Premissas!$E$19*B$4*Premissas!$B$14*B$5)+((Premissas!$E$20*B$4/Premissas!$B$7)*Premissas!$B$15))*(1-Premissas!$B$16)-Premissas!$E$21*B$6</f>
        <v>-11360</v>
      </c>
      <c r="C12" s="16" t="n">
        <f aca="false">((Premissas!$E$19*C$4*Premissas!$B$14*C$5)+((Premissas!$E$20*C$4/Premissas!$B$7)*Premissas!$B$15))*(1-Premissas!$B$16)-Premissas!$E$21*C$6</f>
        <v>984000</v>
      </c>
      <c r="D12" s="16" t="n">
        <f aca="false">((Premissas!$E$19*D$4*Premissas!$B$14*D$5)+((Premissas!$E$20*D$4/Premissas!$B$7)*Premissas!$B$15))*(1-Premissas!$B$16)-Premissas!$E$21*D$6</f>
        <v>1918000</v>
      </c>
    </row>
    <row r="13" customFormat="false" ht="15" hidden="false" customHeight="false" outlineLevel="0" collapsed="false">
      <c r="A13" s="1" t="s">
        <v>19</v>
      </c>
      <c r="B13" s="16" t="n">
        <f aca="false">((Premissas!$F$19*B$4*Premissas!$B$14*B$5)+((Premissas!$F$20*B$4/Premissas!$B$7)*Premissas!$B$15))*(1-Premissas!$B$16)-Premissas!$F$21*B$6</f>
        <v>401280</v>
      </c>
      <c r="C13" s="16" t="n">
        <f aca="false">((Premissas!$F$19*C$4*Premissas!$B$14*C$5)+((Premissas!$F$20*C$4/Premissas!$B$7)*Premissas!$B$15))*(1-Premissas!$B$16)-Premissas!$F$21*C$6</f>
        <v>2474666.66666667</v>
      </c>
      <c r="D13" s="16" t="n">
        <f aca="false">((Premissas!$F$19*D$4*Premissas!$B$14*D$5)+((Premissas!$F$20*D$4/Premissas!$B$7)*Premissas!$B$15))*(1-Premissas!$B$16)-Premissas!$F$21*D$6</f>
        <v>4349333.33333333</v>
      </c>
    </row>
    <row r="14" customFormat="false" ht="15" hidden="false" customHeight="false" outlineLevel="0" collapsed="false">
      <c r="A14" s="1" t="s">
        <v>20</v>
      </c>
      <c r="B14" s="16" t="n">
        <f aca="false">((Premissas!$G$19*B$4*Premissas!$B$14*B$5)+((Premissas!$G$20*B$4/Premissas!$B$7)*Premissas!$B$15))*(1-Premissas!$B$16)-Premissas!$G$21*B$6</f>
        <v>963700</v>
      </c>
      <c r="C14" s="16" t="n">
        <f aca="false">((Premissas!$G$19*C$4*Premissas!$B$14*C$5)+((Premissas!$G$20*C$4/Premissas!$B$7)*Premissas!$B$15))*(1-Premissas!$B$16)-Premissas!$G$21*C$6</f>
        <v>4543333.33333333</v>
      </c>
      <c r="D14" s="16" t="n">
        <f aca="false">((Premissas!$G$19*D$4*Premissas!$B$14*D$5)+((Premissas!$G$20*D$4/Premissas!$B$7)*Premissas!$B$15))*(1-Premissas!$B$16)-Premissas!$G$21*D$6</f>
        <v>7737916.66666667</v>
      </c>
    </row>
    <row r="16" customFormat="false" ht="15" hidden="false" customHeight="false" outlineLevel="0" collapsed="false">
      <c r="A16" s="18" t="s">
        <v>71</v>
      </c>
      <c r="B16" s="21" t="n">
        <f aca="false">NPV(Premissas!$B$3,B10:B14)+B9</f>
        <v>-381182.806069959</v>
      </c>
      <c r="C16" s="21" t="n">
        <f aca="false">NPV(Premissas!$B$3,C10:C14)+C9</f>
        <v>2937890.51783265</v>
      </c>
      <c r="D16" s="21" t="n">
        <f aca="false">NPV(Premissas!$B$3,D10:D14)+D9</f>
        <v>6048933.84559328</v>
      </c>
    </row>
    <row r="17" customFormat="false" ht="15" hidden="false" customHeight="false" outlineLevel="0" collapsed="false">
      <c r="A17" s="18" t="s">
        <v>45</v>
      </c>
      <c r="B17" s="16" t="n">
        <f aca="false">NPV(Premissas!$B$4,B10:B14)+B9</f>
        <v>-277411.385607526</v>
      </c>
      <c r="C17" s="16" t="n">
        <f aca="false">NPV(Premissas!$B$4,C10:C14)+C9</f>
        <v>3743109.99125101</v>
      </c>
      <c r="D17" s="16" t="n">
        <f aca="false">NPV(Premissas!$B$4,D10:D14)+D9</f>
        <v>7494146.95263751</v>
      </c>
    </row>
    <row r="18" customFormat="false" ht="15" hidden="false" customHeight="false" outlineLevel="0" collapsed="false">
      <c r="A18" s="18" t="s">
        <v>46</v>
      </c>
      <c r="B18" s="16" t="n">
        <f aca="false">NPV(Premissas!$B$5,B10:B14)+B9</f>
        <v>-502258.029373029</v>
      </c>
      <c r="C18" s="16" t="n">
        <f aca="false">NPV(Premissas!$B$5,C10:C14)+C9</f>
        <v>1903645.57550685</v>
      </c>
      <c r="D18" s="16" t="n">
        <f aca="false">NPV(Premissas!$B$5,D10:D14)+D9</f>
        <v>4179179.34645505</v>
      </c>
    </row>
    <row r="19" customFormat="false" ht="15" hidden="false" customHeight="false" outlineLevel="0" collapsed="false">
      <c r="A19" s="18" t="s">
        <v>40</v>
      </c>
      <c r="B19" s="29" t="n">
        <f aca="false">IRR(B9:B14)</f>
        <v>0.0514240000651883</v>
      </c>
      <c r="C19" s="29" t="n">
        <f aca="false">IRR(C9:C14)</f>
        <v>0.855721787133331</v>
      </c>
      <c r="D19" s="29" t="n">
        <f aca="false">IRR(D9:D14)</f>
        <v>1.33755958560261</v>
      </c>
    </row>
    <row r="20" customFormat="false" ht="15" hidden="false" customHeight="false" outlineLevel="0" collapsed="false">
      <c r="A20" s="18" t="s">
        <v>72</v>
      </c>
      <c r="B20" s="1" t="str">
        <f aca="false">IF(B16&gt;0,"Sim","Não")</f>
        <v>Não</v>
      </c>
      <c r="C20" s="1" t="str">
        <f aca="false">IF(C16&gt;0,"Sim","Não")</f>
        <v>Sim</v>
      </c>
      <c r="D20" s="1" t="str">
        <f aca="false">IF(D16&gt;0,"Sim","Não")</f>
        <v>Sim</v>
      </c>
    </row>
    <row r="22" customFormat="false" ht="15" hidden="false" customHeight="false" outlineLevel="0" collapsed="false">
      <c r="A22" s="27" t="s">
        <v>73</v>
      </c>
      <c r="B22" s="27"/>
      <c r="C22" s="27"/>
      <c r="D22" s="27"/>
    </row>
  </sheetData>
  <mergeCells count="2">
    <mergeCell ref="A1:D1"/>
    <mergeCell ref="A22:D2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2026-06-16T20:32:50Z</dcterms:created>
  <dc:creator>openpyxl</dc:creator>
  <dc:description/>
  <dc:language>en-US</dc:language>
  <cp:lastModifiedBy/>
  <dcterms:modified xsi:type="dcterms:W3CDTF">2026-06-16T20:32:50Z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