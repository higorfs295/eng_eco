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ssas" sheetId="1" r:id="rId5"/>
    <sheet state="visible" name="Modelo A — SaaS" sheetId="2" r:id="rId6"/>
    <sheet state="visible" name="Modelo B — DaaS" sheetId="3" r:id="rId7"/>
    <sheet state="visible" name="Modelo C — Híbrido" sheetId="4" r:id="rId8"/>
    <sheet state="visible" name="Comparativo" sheetId="5" r:id="rId9"/>
    <sheet state="visible" name="Sensibilidad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PREMISSA - curva de adoção. Variável crítica do modelo.</t>
      </text>
    </comment>
    <comment authorId="0" ref="B15">
      <text>
        <t xml:space="preserve">Receita única no ano de entrada do cliente.</t>
      </text>
    </comment>
    <comment authorId="0" ref="B13">
      <text>
        <t xml:space="preserve">Serviço de campo: pilotos, logística, manutenção.</t>
      </text>
    </comment>
    <comment authorId="0" ref="B11">
      <text>
        <t xml:space="preserve">PREMISSA - drone+operador, vários voos/safra + deslocamento.</t>
      </text>
    </comment>
    <comment authorId="0" ref="B10">
      <text>
        <t xml:space="preserve">PREMISSA - inclui serviço de voo.</t>
      </text>
    </comment>
    <comment authorId="0" ref="B8">
      <text>
        <t xml:space="preserve">PREMISSA - validar com concorrentes.</t>
      </text>
    </comment>
    <comment authorId="0" ref="B7">
      <text>
        <t xml:space="preserve">PREMISSA - perfil médias/grandes fazendas de grãos.</t>
      </text>
    </comment>
    <comment authorId="0" ref="B6">
      <text>
        <t xml:space="preserve">PREMISSA - substituir por cotações reais (dev, infra, registro).</t>
      </text>
    </comment>
    <comment authorId="0" ref="B4">
      <text>
        <t xml:space="preserve">Fonte: Selic, Copom jun/2026 (verificar na data da entrega).</t>
      </text>
    </comment>
    <comment authorId="0" ref="C21">
      <text>
        <t xml:space="preserve">Equipe + infra base. PREMISSA.</t>
      </text>
    </comment>
    <comment authorId="0" ref="B3">
      <text>
        <t xml:space="preserve">Selic 14,5% + ~5,5 p.p. de prêmio de risco (venture). PREMISSA.</t>
      </text>
    </comment>
  </commentList>
</comments>
</file>

<file path=xl/sharedStrings.xml><?xml version="1.0" encoding="utf-8"?>
<sst xmlns="http://schemas.openxmlformats.org/spreadsheetml/2006/main" count="128" uniqueCount="74">
  <si>
    <t>PREMISSAS DO MODELO  —  edite as células AZUIS (amarelas = mais sensíveis)</t>
  </si>
  <si>
    <t>TMA recomendada (a.a.)</t>
  </si>
  <si>
    <t>TMA piso / custo de oportunidade (a.a.)</t>
  </si>
  <si>
    <t>TMA estresse (a.a.)</t>
  </si>
  <si>
    <t>Investimento software/MVP (Ano 0, R$)</t>
  </si>
  <si>
    <t>Fazenda média (ha por cliente)</t>
  </si>
  <si>
    <t>A) SaaS - preço (R$/ha/ano)</t>
  </si>
  <si>
    <t>A) SaaS - custo variável (% receita)</t>
  </si>
  <si>
    <t>B) DaaS - preço (R$/ha/ano)</t>
  </si>
  <si>
    <t>B) DaaS - capacidade (ha/ano por unidade)</t>
  </si>
  <si>
    <t>B) DaaS - custo por unidade (CAPEX, R$)</t>
  </si>
  <si>
    <t>B) DaaS - custo variável (% receita)</t>
  </si>
  <si>
    <t>C) Híbrido - preço SaaS (R$/ha/ano)</t>
  </si>
  <si>
    <t>C) Híbrido - taxa de implantação (R$/cliente)</t>
  </si>
  <si>
    <t>C) Híbrido - custo variável (% receita)</t>
  </si>
  <si>
    <t>Série anual</t>
  </si>
  <si>
    <t>Ano 1</t>
  </si>
  <si>
    <t>Ano 2</t>
  </si>
  <si>
    <t>Ano 3</t>
  </si>
  <si>
    <t>Ano 4</t>
  </si>
  <si>
    <t>Ano 5</t>
  </si>
  <si>
    <t>Hectares ativos (acum.)</t>
  </si>
  <si>
    <t>Hectares novos no ano</t>
  </si>
  <si>
    <t>Custo fixo base A/C (R$)</t>
  </si>
  <si>
    <t>Custo fixo DaaS B (R$)</t>
  </si>
  <si>
    <t>Azul = input editável   |   Preto = fórmula   |   Verde = link entre abas   |   Amarelo = premissa-chave</t>
  </si>
  <si>
    <t>Modelo A — SaaS</t>
  </si>
  <si>
    <t>t (período)</t>
  </si>
  <si>
    <t>Hectares ativos</t>
  </si>
  <si>
    <t>Unidades necessárias (acum.)</t>
  </si>
  <si>
    <t>Receita (R$)</t>
  </si>
  <si>
    <t>Custo variável (R$)</t>
  </si>
  <si>
    <t>Custo fixo (R$)</t>
  </si>
  <si>
    <t>CAPEX (R$)</t>
  </si>
  <si>
    <t>Fluxo de caixa líquido (R$)</t>
  </si>
  <si>
    <t>Fluxo acumulado (R$)</t>
  </si>
  <si>
    <t>Fator de desconto</t>
  </si>
  <si>
    <t>Fluxo descontado (R$)</t>
  </si>
  <si>
    <t>Fluxo desc. acumulado (R$)</t>
  </si>
  <si>
    <t>VPL (TMA recomendada, R$)</t>
  </si>
  <si>
    <t>TIR (a.a.)</t>
  </si>
  <si>
    <t>Payback simples (anos)</t>
  </si>
  <si>
    <t>Payback descontado (anos)</t>
  </si>
  <si>
    <t>IBC (Índice Benefício/Custo)</t>
  </si>
  <si>
    <t>ROIA (a.a.)</t>
  </si>
  <si>
    <t>VPL @ TMA piso (R$)</t>
  </si>
  <si>
    <t>VPL @ TMA estresse (R$)</t>
  </si>
  <si>
    <t>Premissas em Premissas! ; payback assume um único cruzamento de sinal no fluxo acumulado.</t>
  </si>
  <si>
    <t>Modelo B — DaaS</t>
  </si>
  <si>
    <t>Modelo C — Híbrido</t>
  </si>
  <si>
    <t>COMPARATIVO DOS 3 MODELOS (à TMA recomendada)</t>
  </si>
  <si>
    <t>Indicador</t>
  </si>
  <si>
    <t>A) SaaS asset-light</t>
  </si>
  <si>
    <t>B) DaaS frota própria</t>
  </si>
  <si>
    <t>C) Híbrido (setup+SaaS)</t>
  </si>
  <si>
    <t>Investimento Ano 0 (R$)</t>
  </si>
  <si>
    <t>VPL (TMA recom., R$)</t>
  </si>
  <si>
    <t>VPL (TMA piso, R$)</t>
  </si>
  <si>
    <t>VPL (TMA estresse, R$)</t>
  </si>
  <si>
    <t>IBC</t>
  </si>
  <si>
    <t>Recomendação: C (Híbrido) como principal — maior VPL e menor payback; A (SaaS) como alternativa enxuta; B (DaaS frota própria) é inviável (VPL negativo em todos os níveis de TMA testados) — rejeitar como núcleo.</t>
  </si>
  <si>
    <t>ANÁLISE DE SENSIBILIDADE — Modelo C (motor: adoção e preço)</t>
  </si>
  <si>
    <t>Multiplicadores</t>
  </si>
  <si>
    <t>Pessimista</t>
  </si>
  <si>
    <t>Base</t>
  </si>
  <si>
    <t>Otimista</t>
  </si>
  <si>
    <t>Mult. adoção (hectares)</t>
  </si>
  <si>
    <t>Mult. preço</t>
  </si>
  <si>
    <t>Mult. custo fixo</t>
  </si>
  <si>
    <t>Fluxo de caixa (R$) por ano</t>
  </si>
  <si>
    <t>Ano 0</t>
  </si>
  <si>
    <t>VPL @ TMA recomendada (R$)</t>
  </si>
  <si>
    <t>Viável? (VPL rec. &gt; 0)</t>
  </si>
  <si>
    <t>Leitura: se a adoção ficar ~40% abaixo (pessimista), o VPL fica negativo — o risco nº 1 é a velocidade de aquisição de hectares.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</si>
</sst>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&quot;R$ &quot;#,##0;&quot;(R$ &quot;#,##0\);\-"/>
    <numFmt numFmtId="166" formatCode="&quot;R$ &quot;#,##0.00;&quot;(R$ &quot;#,##0.00\);\-"/>
  </numFmts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sz val="11.0"/>
      <color rgb="FF000000"/>
      <name val="Arial"/>
    </font>
    <font>
      <sz val="11.0"/>
      <color rgb="FF0000FF"/>
      <name val="Arial"/>
    </font>
    <font>
      <b/>
      <sz val="11.0"/>
      <color rgb="FFFFFFFF"/>
      <name val="Arial"/>
    </font>
    <font>
      <i/>
      <sz val="9.0"/>
      <color theme="1"/>
      <name val="Arial"/>
    </font>
    <font>
      <sz val="11.0"/>
      <color rgb="FF008000"/>
      <name val="Arial"/>
    </font>
    <font>
      <b/>
      <sz val="11.0"/>
      <color theme="1"/>
      <name val="Arial"/>
    </font>
    <font>
      <i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5A2E"/>
        <bgColor rgb="FF2E5A2E"/>
      </patternFill>
    </fill>
    <fill>
      <patternFill patternType="solid">
        <fgColor rgb="FFFFFF00"/>
        <bgColor rgb="FFFFFF00"/>
      </patternFill>
    </fill>
    <fill>
      <patternFill patternType="solid">
        <fgColor rgb="FF4F7942"/>
        <bgColor rgb="FF4F7942"/>
      </patternFill>
    </fill>
    <fill>
      <patternFill patternType="solid">
        <fgColor rgb="FFEAF1EA"/>
        <bgColor rgb="FFEAF1E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4" fillId="3" fontId="5" numFmtId="164" xfId="0" applyAlignment="1" applyBorder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4" fillId="3" fontId="5" numFmtId="165" xfId="0" applyAlignment="1" applyBorder="1" applyFont="1" applyNumberFormat="1">
      <alignment vertical="bottom"/>
    </xf>
    <xf borderId="0" fillId="0" fontId="5" numFmtId="1" xfId="0" applyAlignment="1" applyFont="1" applyNumberFormat="1">
      <alignment vertical="bottom"/>
    </xf>
    <xf borderId="4" fillId="3" fontId="5" numFmtId="166" xfId="0" applyAlignment="1" applyBorder="1" applyFont="1" applyNumberFormat="1">
      <alignment vertical="bottom"/>
    </xf>
    <xf borderId="0" fillId="0" fontId="5" numFmtId="165" xfId="0" applyAlignment="1" applyFont="1" applyNumberFormat="1">
      <alignment vertical="bottom"/>
    </xf>
    <xf borderId="4" fillId="4" fontId="6" numFmtId="0" xfId="0" applyAlignment="1" applyBorder="1" applyFill="1" applyFont="1">
      <alignment vertical="bottom"/>
    </xf>
    <xf borderId="4" fillId="4" fontId="6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0" fontId="4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vertical="bottom"/>
    </xf>
    <xf borderId="0" fillId="0" fontId="8" numFmtId="1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8" numFmtId="165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9" numFmtId="165" xfId="0" applyAlignment="1" applyFont="1" applyNumberFormat="1">
      <alignment vertical="bottom"/>
    </xf>
    <xf borderId="0" fillId="0" fontId="8" numFmtId="2" xfId="0" applyAlignment="1" applyFont="1" applyNumberFormat="1">
      <alignment vertical="bottom"/>
    </xf>
    <xf borderId="4" fillId="5" fontId="9" numFmtId="165" xfId="0" applyAlignment="1" applyBorder="1" applyFill="1" applyFont="1" applyNumberFormat="1">
      <alignment vertical="bottom"/>
    </xf>
    <xf borderId="4" fillId="5" fontId="9" numFmtId="164" xfId="0" applyAlignment="1" applyBorder="1" applyFont="1" applyNumberFormat="1">
      <alignment vertical="bottom"/>
    </xf>
    <xf borderId="4" fillId="5" fontId="9" numFmtId="2" xfId="0" applyAlignment="1" applyBorder="1" applyFont="1" applyNumberFormat="1">
      <alignment vertical="bottom"/>
    </xf>
    <xf borderId="4" fillId="4" fontId="6" numFmtId="0" xfId="0" applyAlignment="1" applyBorder="1" applyFont="1">
      <alignment horizontal="center" shrinkToFit="0" vertical="bottom" wrapText="1"/>
    </xf>
    <xf borderId="4" fillId="5" fontId="8" numFmtId="165" xfId="0" applyAlignment="1" applyBorder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5" numFmtId="2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7" width="15.0"/>
    <col customWidth="1" min="8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3"/>
    </row>
    <row r="2">
      <c r="A2" s="4"/>
      <c r="B2" s="4"/>
      <c r="C2" s="4"/>
      <c r="D2" s="4"/>
      <c r="E2" s="4"/>
      <c r="F2" s="4"/>
      <c r="G2" s="4"/>
    </row>
    <row r="3" ht="15.0" customHeight="1">
      <c r="A3" s="5" t="s">
        <v>1</v>
      </c>
      <c r="B3" s="6">
        <v>0.2</v>
      </c>
      <c r="C3" s="4"/>
      <c r="D3" s="4"/>
      <c r="E3" s="4"/>
      <c r="F3" s="4"/>
      <c r="G3" s="4"/>
    </row>
    <row r="4" ht="15.0" customHeight="1">
      <c r="A4" s="5" t="s">
        <v>2</v>
      </c>
      <c r="B4" s="7">
        <v>0.1425</v>
      </c>
      <c r="C4" s="4"/>
      <c r="D4" s="4"/>
      <c r="E4" s="4"/>
      <c r="F4" s="4"/>
      <c r="G4" s="4"/>
    </row>
    <row r="5" ht="15.0" customHeight="1">
      <c r="A5" s="5" t="s">
        <v>3</v>
      </c>
      <c r="B5" s="7">
        <v>0.3</v>
      </c>
      <c r="C5" s="4"/>
      <c r="D5" s="4"/>
      <c r="E5" s="4"/>
      <c r="F5" s="4"/>
      <c r="G5" s="4"/>
    </row>
    <row r="6" ht="15.0" customHeight="1">
      <c r="A6" s="5" t="s">
        <v>4</v>
      </c>
      <c r="B6" s="8">
        <v>380000.0</v>
      </c>
      <c r="C6" s="4"/>
      <c r="D6" s="4"/>
      <c r="E6" s="4"/>
      <c r="F6" s="4"/>
      <c r="G6" s="4"/>
    </row>
    <row r="7" ht="15.0" customHeight="1">
      <c r="A7" s="5" t="s">
        <v>5</v>
      </c>
      <c r="B7" s="9">
        <v>3000.0</v>
      </c>
      <c r="C7" s="4"/>
      <c r="D7" s="4"/>
      <c r="E7" s="4"/>
      <c r="F7" s="4"/>
      <c r="G7" s="4"/>
    </row>
    <row r="8" ht="15.0" customHeight="1">
      <c r="A8" s="5" t="s">
        <v>6</v>
      </c>
      <c r="B8" s="10">
        <v>40.0</v>
      </c>
      <c r="C8" s="4"/>
      <c r="D8" s="4"/>
      <c r="E8" s="4"/>
      <c r="F8" s="4"/>
      <c r="G8" s="4"/>
    </row>
    <row r="9" ht="15.0" customHeight="1">
      <c r="A9" s="5" t="s">
        <v>7</v>
      </c>
      <c r="B9" s="7">
        <v>0.3</v>
      </c>
      <c r="C9" s="4"/>
      <c r="D9" s="4"/>
      <c r="E9" s="4"/>
      <c r="F9" s="4"/>
      <c r="G9" s="4"/>
    </row>
    <row r="10" ht="15.0" customHeight="1">
      <c r="A10" s="5" t="s">
        <v>8</v>
      </c>
      <c r="B10" s="10">
        <v>80.0</v>
      </c>
      <c r="C10" s="4"/>
      <c r="D10" s="4"/>
      <c r="E10" s="4"/>
      <c r="F10" s="4"/>
      <c r="G10" s="4"/>
    </row>
    <row r="11" ht="15.0" customHeight="1">
      <c r="A11" s="5" t="s">
        <v>9</v>
      </c>
      <c r="B11" s="9">
        <v>12000.0</v>
      </c>
      <c r="C11" s="4"/>
      <c r="D11" s="4"/>
      <c r="E11" s="4"/>
      <c r="F11" s="4"/>
      <c r="G11" s="4"/>
    </row>
    <row r="12" ht="15.0" customHeight="1">
      <c r="A12" s="5" t="s">
        <v>10</v>
      </c>
      <c r="B12" s="11">
        <v>120000.0</v>
      </c>
      <c r="C12" s="4"/>
      <c r="D12" s="4"/>
      <c r="E12" s="4"/>
      <c r="F12" s="4"/>
      <c r="G12" s="4"/>
    </row>
    <row r="13" ht="15.0" customHeight="1">
      <c r="A13" s="5" t="s">
        <v>11</v>
      </c>
      <c r="B13" s="6">
        <v>0.72</v>
      </c>
      <c r="C13" s="4"/>
      <c r="D13" s="4"/>
      <c r="E13" s="4"/>
      <c r="F13" s="4"/>
      <c r="G13" s="4"/>
    </row>
    <row r="14" ht="15.0" customHeight="1">
      <c r="A14" s="5" t="s">
        <v>12</v>
      </c>
      <c r="B14" s="10">
        <v>40.0</v>
      </c>
      <c r="C14" s="4"/>
      <c r="D14" s="4"/>
      <c r="E14" s="4"/>
      <c r="F14" s="4"/>
      <c r="G14" s="4"/>
    </row>
    <row r="15" ht="15.0" customHeight="1">
      <c r="A15" s="5" t="s">
        <v>13</v>
      </c>
      <c r="B15" s="8">
        <v>20000.0</v>
      </c>
      <c r="C15" s="4"/>
      <c r="D15" s="4"/>
      <c r="E15" s="4"/>
      <c r="F15" s="4"/>
      <c r="G15" s="4"/>
    </row>
    <row r="16" ht="15.0" customHeight="1">
      <c r="A16" s="5" t="s">
        <v>14</v>
      </c>
      <c r="B16" s="7">
        <v>0.3</v>
      </c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 ht="15.0" customHeight="1">
      <c r="A18" s="12" t="s">
        <v>15</v>
      </c>
      <c r="B18" s="4"/>
      <c r="C18" s="13" t="s">
        <v>16</v>
      </c>
      <c r="D18" s="13" t="s">
        <v>17</v>
      </c>
      <c r="E18" s="13" t="s">
        <v>18</v>
      </c>
      <c r="F18" s="13" t="s">
        <v>19</v>
      </c>
      <c r="G18" s="13" t="s">
        <v>20</v>
      </c>
    </row>
    <row r="19" ht="15.0" customHeight="1">
      <c r="A19" s="5" t="s">
        <v>21</v>
      </c>
      <c r="B19" s="4"/>
      <c r="C19" s="9">
        <v>25000.0</v>
      </c>
      <c r="D19" s="9">
        <v>50000.0</v>
      </c>
      <c r="E19" s="9">
        <v>80000.0</v>
      </c>
      <c r="F19" s="9">
        <v>115000.0</v>
      </c>
      <c r="G19" s="9">
        <v>150000.0</v>
      </c>
    </row>
    <row r="20" ht="15.0" customHeight="1">
      <c r="A20" s="5" t="s">
        <v>22</v>
      </c>
      <c r="B20" s="4"/>
      <c r="C20" s="9">
        <v>25000.0</v>
      </c>
      <c r="D20" s="9">
        <v>25000.0</v>
      </c>
      <c r="E20" s="9">
        <v>30000.0</v>
      </c>
      <c r="F20" s="9">
        <v>35000.0</v>
      </c>
      <c r="G20" s="9">
        <v>35000.0</v>
      </c>
    </row>
    <row r="21" ht="15.0" customHeight="1">
      <c r="A21" s="5" t="s">
        <v>23</v>
      </c>
      <c r="B21" s="4"/>
      <c r="C21" s="11">
        <v>900000.0</v>
      </c>
      <c r="D21" s="11">
        <v>1150000.0</v>
      </c>
      <c r="E21" s="11">
        <v>1500000.0</v>
      </c>
      <c r="F21" s="11">
        <v>1850000.0</v>
      </c>
      <c r="G21" s="11">
        <v>2200000.0</v>
      </c>
    </row>
    <row r="22" ht="15.0" customHeight="1">
      <c r="A22" s="5" t="s">
        <v>24</v>
      </c>
      <c r="B22" s="4"/>
      <c r="C22" s="11">
        <v>900000.0</v>
      </c>
      <c r="D22" s="11">
        <v>1150000.0</v>
      </c>
      <c r="E22" s="11">
        <v>1500000.0</v>
      </c>
      <c r="F22" s="11">
        <v>1850000.0</v>
      </c>
      <c r="G22" s="11">
        <v>2200000.0</v>
      </c>
    </row>
    <row r="23" ht="15.75" customHeight="1">
      <c r="A23" s="4"/>
      <c r="B23" s="4"/>
      <c r="C23" s="4"/>
      <c r="D23" s="4"/>
      <c r="E23" s="4"/>
      <c r="F23" s="4"/>
      <c r="G23" s="4"/>
    </row>
    <row r="24" ht="15.0" customHeight="1">
      <c r="A24" s="14" t="s">
        <v>25</v>
      </c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7" width="14.0"/>
    <col customWidth="1" min="8" max="26" width="8.71"/>
  </cols>
  <sheetData>
    <row r="1" ht="19.5" customHeight="1">
      <c r="A1" s="1" t="s">
        <v>26</v>
      </c>
      <c r="B1" s="2"/>
      <c r="C1" s="2"/>
      <c r="D1" s="2"/>
      <c r="E1" s="2"/>
      <c r="F1" s="2"/>
      <c r="G1" s="3"/>
    </row>
    <row r="2" ht="15.0" customHeight="1">
      <c r="A2" s="5" t="s">
        <v>27</v>
      </c>
      <c r="B2" s="15">
        <v>0.0</v>
      </c>
      <c r="C2" s="15">
        <v>1.0</v>
      </c>
      <c r="D2" s="15">
        <v>2.0</v>
      </c>
      <c r="E2" s="15">
        <v>3.0</v>
      </c>
      <c r="F2" s="15">
        <v>4.0</v>
      </c>
      <c r="G2" s="15">
        <v>5.0</v>
      </c>
    </row>
    <row r="3" ht="15.0" customHeight="1">
      <c r="A3" s="5" t="s">
        <v>28</v>
      </c>
      <c r="B3" s="16">
        <v>0.0</v>
      </c>
      <c r="C3" s="17">
        <f>Premissas!C19</f>
        <v>25000</v>
      </c>
      <c r="D3" s="17">
        <f>Premissas!D19</f>
        <v>50000</v>
      </c>
      <c r="E3" s="17">
        <f>Premissas!E19</f>
        <v>80000</v>
      </c>
      <c r="F3" s="17">
        <f>Premissas!F19</f>
        <v>115000</v>
      </c>
      <c r="G3" s="17">
        <f>Premissas!G19</f>
        <v>150000</v>
      </c>
    </row>
    <row r="4" ht="15.0" customHeight="1">
      <c r="A4" s="5" t="s">
        <v>29</v>
      </c>
      <c r="B4" s="16">
        <v>0.0</v>
      </c>
      <c r="C4" s="16">
        <v>0.0</v>
      </c>
      <c r="D4" s="16">
        <v>0.0</v>
      </c>
      <c r="E4" s="16">
        <v>0.0</v>
      </c>
      <c r="F4" s="16">
        <v>0.0</v>
      </c>
      <c r="G4" s="16">
        <v>0.0</v>
      </c>
    </row>
    <row r="5" ht="15.0" customHeight="1">
      <c r="A5" s="5" t="s">
        <v>30</v>
      </c>
      <c r="B5" s="18">
        <v>0.0</v>
      </c>
      <c r="C5" s="18">
        <f>C3*Premissas!$B$8</f>
        <v>1000000</v>
      </c>
      <c r="D5" s="18">
        <f>D3*Premissas!$B$8</f>
        <v>2000000</v>
      </c>
      <c r="E5" s="18">
        <f>E3*Premissas!$B$8</f>
        <v>3200000</v>
      </c>
      <c r="F5" s="18">
        <f>F3*Premissas!$B$8</f>
        <v>4600000</v>
      </c>
      <c r="G5" s="18">
        <f>G3*Premissas!$B$8</f>
        <v>6000000</v>
      </c>
    </row>
    <row r="6" ht="15.0" customHeight="1">
      <c r="A6" s="5" t="s">
        <v>31</v>
      </c>
      <c r="B6" s="18">
        <v>0.0</v>
      </c>
      <c r="C6" s="18">
        <f>C5*Premissas!$B$9</f>
        <v>300000</v>
      </c>
      <c r="D6" s="18">
        <f>D5*Premissas!$B$9</f>
        <v>600000</v>
      </c>
      <c r="E6" s="18">
        <f>E5*Premissas!$B$9</f>
        <v>960000</v>
      </c>
      <c r="F6" s="18">
        <f>F5*Premissas!$B$9</f>
        <v>1380000</v>
      </c>
      <c r="G6" s="18">
        <f>G5*Premissas!$B$9</f>
        <v>1800000</v>
      </c>
    </row>
    <row r="7" ht="15.0" customHeight="1">
      <c r="A7" s="5" t="s">
        <v>32</v>
      </c>
      <c r="B7" s="18">
        <v>0.0</v>
      </c>
      <c r="C7" s="19">
        <f>Premissas!C21</f>
        <v>900000</v>
      </c>
      <c r="D7" s="19">
        <f>Premissas!D21</f>
        <v>1150000</v>
      </c>
      <c r="E7" s="19">
        <f>Premissas!E21</f>
        <v>1500000</v>
      </c>
      <c r="F7" s="19">
        <f>Premissas!F21</f>
        <v>1850000</v>
      </c>
      <c r="G7" s="19">
        <f>Premissas!G21</f>
        <v>2200000</v>
      </c>
    </row>
    <row r="8" ht="15.0" customHeight="1">
      <c r="A8" s="5" t="s">
        <v>33</v>
      </c>
      <c r="B8" s="19">
        <f>Premissas!$B$6</f>
        <v>380000</v>
      </c>
      <c r="C8" s="18">
        <v>0.0</v>
      </c>
      <c r="D8" s="18">
        <v>0.0</v>
      </c>
      <c r="E8" s="18">
        <v>0.0</v>
      </c>
      <c r="F8" s="18">
        <v>0.0</v>
      </c>
      <c r="G8" s="18">
        <v>0.0</v>
      </c>
    </row>
    <row r="9" ht="15.0" customHeight="1">
      <c r="A9" s="20" t="s">
        <v>34</v>
      </c>
      <c r="B9" s="21">
        <f t="shared" ref="B9:G9" si="1">B5-B6-B7-B8</f>
        <v>-380000</v>
      </c>
      <c r="C9" s="21">
        <f t="shared" si="1"/>
        <v>-200000</v>
      </c>
      <c r="D9" s="21">
        <f t="shared" si="1"/>
        <v>250000</v>
      </c>
      <c r="E9" s="21">
        <f t="shared" si="1"/>
        <v>740000</v>
      </c>
      <c r="F9" s="21">
        <f t="shared" si="1"/>
        <v>1370000</v>
      </c>
      <c r="G9" s="21">
        <f t="shared" si="1"/>
        <v>2000000</v>
      </c>
    </row>
    <row r="10" ht="15.0" customHeight="1">
      <c r="A10" s="5" t="s">
        <v>35</v>
      </c>
      <c r="B10" s="18">
        <f>B9</f>
        <v>-380000</v>
      </c>
      <c r="C10" s="18">
        <f t="shared" ref="C10:G10" si="2">B10+C9</f>
        <v>-580000</v>
      </c>
      <c r="D10" s="18">
        <f t="shared" si="2"/>
        <v>-330000</v>
      </c>
      <c r="E10" s="18">
        <f t="shared" si="2"/>
        <v>410000</v>
      </c>
      <c r="F10" s="18">
        <f t="shared" si="2"/>
        <v>1780000</v>
      </c>
      <c r="G10" s="18">
        <f t="shared" si="2"/>
        <v>3780000</v>
      </c>
    </row>
    <row r="11" ht="15.0" customHeight="1">
      <c r="A11" s="5" t="s">
        <v>36</v>
      </c>
      <c r="B11" s="22">
        <f>1/(1+Premissas!$B$3)^B2</f>
        <v>1</v>
      </c>
      <c r="C11" s="22">
        <f>1/(1+Premissas!$B$3)^C2</f>
        <v>0.8333333333</v>
      </c>
      <c r="D11" s="22">
        <f>1/(1+Premissas!$B$3)^D2</f>
        <v>0.6944444444</v>
      </c>
      <c r="E11" s="22">
        <f>1/(1+Premissas!$B$3)^E2</f>
        <v>0.5787037037</v>
      </c>
      <c r="F11" s="22">
        <f>1/(1+Premissas!$B$3)^F2</f>
        <v>0.4822530864</v>
      </c>
      <c r="G11" s="22">
        <f>1/(1+Premissas!$B$3)^G2</f>
        <v>0.401877572</v>
      </c>
    </row>
    <row r="12" ht="15.0" customHeight="1">
      <c r="A12" s="5" t="s">
        <v>37</v>
      </c>
      <c r="B12" s="18">
        <f t="shared" ref="B12:G12" si="3">B9*B11</f>
        <v>-380000</v>
      </c>
      <c r="C12" s="18">
        <f t="shared" si="3"/>
        <v>-166666.6667</v>
      </c>
      <c r="D12" s="18">
        <f t="shared" si="3"/>
        <v>173611.1111</v>
      </c>
      <c r="E12" s="18">
        <f t="shared" si="3"/>
        <v>428240.7407</v>
      </c>
      <c r="F12" s="18">
        <f t="shared" si="3"/>
        <v>660686.7284</v>
      </c>
      <c r="G12" s="18">
        <f t="shared" si="3"/>
        <v>803755.144</v>
      </c>
    </row>
    <row r="13" ht="15.0" customHeight="1">
      <c r="A13" s="5" t="s">
        <v>38</v>
      </c>
      <c r="B13" s="18">
        <f>B12</f>
        <v>-380000</v>
      </c>
      <c r="C13" s="18">
        <f t="shared" ref="C13:G13" si="4">B13+C12</f>
        <v>-546666.6667</v>
      </c>
      <c r="D13" s="18">
        <f t="shared" si="4"/>
        <v>-373055.5556</v>
      </c>
      <c r="E13" s="18">
        <f t="shared" si="4"/>
        <v>55185.18519</v>
      </c>
      <c r="F13" s="18">
        <f t="shared" si="4"/>
        <v>715871.9136</v>
      </c>
      <c r="G13" s="18">
        <f t="shared" si="4"/>
        <v>1519627.058</v>
      </c>
    </row>
    <row r="14">
      <c r="A14" s="4"/>
      <c r="B14" s="4"/>
      <c r="C14" s="4"/>
      <c r="D14" s="4"/>
      <c r="E14" s="4"/>
      <c r="F14" s="4"/>
      <c r="G14" s="4"/>
    </row>
    <row r="15" ht="15.0" customHeight="1">
      <c r="A15" s="20" t="s">
        <v>39</v>
      </c>
      <c r="B15" s="23">
        <f>SUM(B12:G12)</f>
        <v>1519627.058</v>
      </c>
      <c r="C15" s="4"/>
      <c r="D15" s="4"/>
      <c r="E15" s="4"/>
      <c r="F15" s="4"/>
      <c r="G15" s="4"/>
    </row>
    <row r="16" ht="15.0" customHeight="1">
      <c r="A16" s="20" t="s">
        <v>40</v>
      </c>
      <c r="B16" s="24">
        <f>IRR(B9:G9)</f>
        <v>0.743046356</v>
      </c>
      <c r="C16" s="4"/>
      <c r="D16" s="4"/>
      <c r="E16" s="4"/>
      <c r="F16" s="4"/>
      <c r="G16" s="4"/>
    </row>
    <row r="17" ht="15.0" customHeight="1">
      <c r="A17" s="20" t="s">
        <v>41</v>
      </c>
      <c r="B17" s="25">
        <f t="array" ref="B17">IF(G10&lt;0,"Não recupera",(COUNTIF(B10:G10,"&lt;0")-1)+(-INDEX(B10:G10,COUNTIF(B10:G10,"&lt;0")))/INDEX(B9:G9,COUNTIF(B10:G10,"&lt;0")+1))</f>
        <v>2.445945946</v>
      </c>
      <c r="C17" s="4"/>
      <c r="D17" s="4"/>
      <c r="E17" s="4"/>
      <c r="F17" s="4"/>
      <c r="G17" s="4"/>
    </row>
    <row r="18" ht="15.0" customHeight="1">
      <c r="A18" s="20" t="s">
        <v>42</v>
      </c>
      <c r="B18" s="25">
        <f t="array" ref="B18">IF(G13&lt;0,"Não recupera",(COUNTIF(B13:G13,"&lt;0")-1)+(-INDEX(B13:G13,COUNTIF(B13:G13,"&lt;0")))/INDEX(B12:G12,COUNTIF(B13:G13,"&lt;0")+1))</f>
        <v>2.871135135</v>
      </c>
      <c r="C18" s="4"/>
      <c r="D18" s="4"/>
      <c r="E18" s="4"/>
      <c r="F18" s="4"/>
      <c r="G18" s="4"/>
    </row>
    <row r="19" ht="15.0" customHeight="1">
      <c r="A19" s="20" t="s">
        <v>43</v>
      </c>
      <c r="B19" s="25">
        <f>SUM(C12:G12)/(-B9)</f>
        <v>4.999018573</v>
      </c>
      <c r="C19" s="4"/>
      <c r="D19" s="4"/>
      <c r="E19" s="4"/>
      <c r="F19" s="4"/>
      <c r="G19" s="4"/>
    </row>
    <row r="20" ht="15.0" customHeight="1">
      <c r="A20" s="20" t="s">
        <v>44</v>
      </c>
      <c r="B20" s="24">
        <f>B19^(1/5)-1</f>
        <v>0.379675493</v>
      </c>
      <c r="C20" s="4"/>
      <c r="D20" s="4"/>
      <c r="E20" s="4"/>
      <c r="F20" s="4"/>
      <c r="G20" s="4"/>
    </row>
    <row r="21" ht="15.0" customHeight="1">
      <c r="A21" s="20" t="s">
        <v>45</v>
      </c>
      <c r="B21" s="23">
        <f t="array" ref="B21">NPV(Premissas!$B$4,C9:G9)+B9</f>
        <v>1964174.151</v>
      </c>
      <c r="C21" s="4"/>
      <c r="D21" s="4"/>
      <c r="E21" s="4"/>
      <c r="F21" s="4"/>
      <c r="G21" s="4"/>
    </row>
    <row r="22" ht="15.0" customHeight="1">
      <c r="A22" s="20" t="s">
        <v>46</v>
      </c>
      <c r="B22" s="23">
        <f t="array" ref="B22">NPV(Premissas!$B$5,C9:G9)+B9</f>
        <v>969239.0107</v>
      </c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0" customHeight="1">
      <c r="A24" s="14" t="s">
        <v>47</v>
      </c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7" width="14.0"/>
    <col customWidth="1" min="8" max="26" width="8.71"/>
  </cols>
  <sheetData>
    <row r="1" ht="19.5" customHeight="1">
      <c r="A1" s="1" t="s">
        <v>48</v>
      </c>
      <c r="B1" s="2"/>
      <c r="C1" s="2"/>
      <c r="D1" s="2"/>
      <c r="E1" s="2"/>
      <c r="F1" s="2"/>
      <c r="G1" s="3"/>
    </row>
    <row r="2" ht="15.0" customHeight="1">
      <c r="A2" s="5" t="s">
        <v>27</v>
      </c>
      <c r="B2" s="15">
        <v>0.0</v>
      </c>
      <c r="C2" s="15">
        <v>1.0</v>
      </c>
      <c r="D2" s="15">
        <v>2.0</v>
      </c>
      <c r="E2" s="15">
        <v>3.0</v>
      </c>
      <c r="F2" s="15">
        <v>4.0</v>
      </c>
      <c r="G2" s="15">
        <v>5.0</v>
      </c>
    </row>
    <row r="3" ht="15.0" customHeight="1">
      <c r="A3" s="5" t="s">
        <v>28</v>
      </c>
      <c r="B3" s="16">
        <v>0.0</v>
      </c>
      <c r="C3" s="17">
        <f>Premissas!C19</f>
        <v>25000</v>
      </c>
      <c r="D3" s="17">
        <f>Premissas!D19</f>
        <v>50000</v>
      </c>
      <c r="E3" s="17">
        <f>Premissas!E19</f>
        <v>80000</v>
      </c>
      <c r="F3" s="17">
        <f>Premissas!F19</f>
        <v>115000</v>
      </c>
      <c r="G3" s="17">
        <f>Premissas!G19</f>
        <v>150000</v>
      </c>
    </row>
    <row r="4" ht="15.0" customHeight="1">
      <c r="A4" s="5" t="s">
        <v>29</v>
      </c>
      <c r="B4" s="16">
        <v>0.0</v>
      </c>
      <c r="C4" s="16">
        <f>CEILING(C3/Premissas!$B$11,1)</f>
        <v>3</v>
      </c>
      <c r="D4" s="16">
        <f>CEILING(D3/Premissas!$B$11,1)</f>
        <v>5</v>
      </c>
      <c r="E4" s="16">
        <f>CEILING(E3/Premissas!$B$11,1)</f>
        <v>7</v>
      </c>
      <c r="F4" s="16">
        <f>CEILING(F3/Premissas!$B$11,1)</f>
        <v>10</v>
      </c>
      <c r="G4" s="16">
        <f>CEILING(G3/Premissas!$B$11,1)</f>
        <v>13</v>
      </c>
    </row>
    <row r="5" ht="15.0" customHeight="1">
      <c r="A5" s="5" t="s">
        <v>30</v>
      </c>
      <c r="B5" s="18">
        <v>0.0</v>
      </c>
      <c r="C5" s="18">
        <f>C3*Premissas!$B$10</f>
        <v>2000000</v>
      </c>
      <c r="D5" s="18">
        <f>D3*Premissas!$B$10</f>
        <v>4000000</v>
      </c>
      <c r="E5" s="18">
        <f>E3*Premissas!$B$10</f>
        <v>6400000</v>
      </c>
      <c r="F5" s="18">
        <f>F3*Premissas!$B$10</f>
        <v>9200000</v>
      </c>
      <c r="G5" s="18">
        <f>G3*Premissas!$B$10</f>
        <v>12000000</v>
      </c>
    </row>
    <row r="6" ht="15.0" customHeight="1">
      <c r="A6" s="5" t="s">
        <v>31</v>
      </c>
      <c r="B6" s="18">
        <v>0.0</v>
      </c>
      <c r="C6" s="18">
        <f>C5*Premissas!$B$13</f>
        <v>1440000</v>
      </c>
      <c r="D6" s="18">
        <f>D5*Premissas!$B$13</f>
        <v>2880000</v>
      </c>
      <c r="E6" s="18">
        <f>E5*Premissas!$B$13</f>
        <v>4608000</v>
      </c>
      <c r="F6" s="18">
        <f>F5*Premissas!$B$13</f>
        <v>6624000</v>
      </c>
      <c r="G6" s="18">
        <f>G5*Premissas!$B$13</f>
        <v>8640000</v>
      </c>
    </row>
    <row r="7" ht="15.0" customHeight="1">
      <c r="A7" s="5" t="s">
        <v>32</v>
      </c>
      <c r="B7" s="18">
        <v>0.0</v>
      </c>
      <c r="C7" s="19">
        <f>Premissas!C22</f>
        <v>900000</v>
      </c>
      <c r="D7" s="19">
        <f>Premissas!D22</f>
        <v>1150000</v>
      </c>
      <c r="E7" s="19">
        <f>Premissas!E22</f>
        <v>1500000</v>
      </c>
      <c r="F7" s="19">
        <f>Premissas!F22</f>
        <v>1850000</v>
      </c>
      <c r="G7" s="19">
        <f>Premissas!G22</f>
        <v>2200000</v>
      </c>
    </row>
    <row r="8" ht="15.0" customHeight="1">
      <c r="A8" s="5" t="s">
        <v>33</v>
      </c>
      <c r="B8" s="19">
        <f>Premissas!$B$6</f>
        <v>380000</v>
      </c>
      <c r="C8" s="18">
        <f>(C4-B4)*Premissas!$B$12</f>
        <v>360000</v>
      </c>
      <c r="D8" s="18">
        <f>(D4-C4)*Premissas!$B$12</f>
        <v>240000</v>
      </c>
      <c r="E8" s="18">
        <f>(E4-D4)*Premissas!$B$12</f>
        <v>240000</v>
      </c>
      <c r="F8" s="18">
        <f>(F4-E4)*Premissas!$B$12</f>
        <v>360000</v>
      </c>
      <c r="G8" s="18">
        <f>(G4-F4)*Premissas!$B$12</f>
        <v>360000</v>
      </c>
    </row>
    <row r="9" ht="15.0" customHeight="1">
      <c r="A9" s="20" t="s">
        <v>34</v>
      </c>
      <c r="B9" s="21">
        <f t="shared" ref="B9:G9" si="1">B5-B6-B7-B8</f>
        <v>-380000</v>
      </c>
      <c r="C9" s="21">
        <f t="shared" si="1"/>
        <v>-700000</v>
      </c>
      <c r="D9" s="21">
        <f t="shared" si="1"/>
        <v>-270000</v>
      </c>
      <c r="E9" s="21">
        <f t="shared" si="1"/>
        <v>52000</v>
      </c>
      <c r="F9" s="21">
        <f t="shared" si="1"/>
        <v>366000</v>
      </c>
      <c r="G9" s="21">
        <f t="shared" si="1"/>
        <v>800000</v>
      </c>
    </row>
    <row r="10" ht="15.0" customHeight="1">
      <c r="A10" s="5" t="s">
        <v>35</v>
      </c>
      <c r="B10" s="18">
        <f>B9</f>
        <v>-380000</v>
      </c>
      <c r="C10" s="18">
        <f t="shared" ref="C10:G10" si="2">B10+C9</f>
        <v>-1080000</v>
      </c>
      <c r="D10" s="18">
        <f t="shared" si="2"/>
        <v>-1350000</v>
      </c>
      <c r="E10" s="18">
        <f t="shared" si="2"/>
        <v>-1298000</v>
      </c>
      <c r="F10" s="18">
        <f t="shared" si="2"/>
        <v>-932000</v>
      </c>
      <c r="G10" s="18">
        <f t="shared" si="2"/>
        <v>-132000</v>
      </c>
    </row>
    <row r="11" ht="15.0" customHeight="1">
      <c r="A11" s="5" t="s">
        <v>36</v>
      </c>
      <c r="B11" s="22">
        <f>1/(1+Premissas!$B$3)^B2</f>
        <v>1</v>
      </c>
      <c r="C11" s="22">
        <f>1/(1+Premissas!$B$3)^C2</f>
        <v>0.8333333333</v>
      </c>
      <c r="D11" s="22">
        <f>1/(1+Premissas!$B$3)^D2</f>
        <v>0.6944444444</v>
      </c>
      <c r="E11" s="22">
        <f>1/(1+Premissas!$B$3)^E2</f>
        <v>0.5787037037</v>
      </c>
      <c r="F11" s="22">
        <f>1/(1+Premissas!$B$3)^F2</f>
        <v>0.4822530864</v>
      </c>
      <c r="G11" s="22">
        <f>1/(1+Premissas!$B$3)^G2</f>
        <v>0.401877572</v>
      </c>
    </row>
    <row r="12" ht="15.0" customHeight="1">
      <c r="A12" s="5" t="s">
        <v>37</v>
      </c>
      <c r="B12" s="18">
        <f t="shared" ref="B12:G12" si="3">B9*B11</f>
        <v>-380000</v>
      </c>
      <c r="C12" s="18">
        <f t="shared" si="3"/>
        <v>-583333.3333</v>
      </c>
      <c r="D12" s="18">
        <f t="shared" si="3"/>
        <v>-187500</v>
      </c>
      <c r="E12" s="18">
        <f t="shared" si="3"/>
        <v>30092.59259</v>
      </c>
      <c r="F12" s="18">
        <f t="shared" si="3"/>
        <v>176504.6296</v>
      </c>
      <c r="G12" s="18">
        <f t="shared" si="3"/>
        <v>321502.0576</v>
      </c>
    </row>
    <row r="13" ht="15.0" customHeight="1">
      <c r="A13" s="5" t="s">
        <v>38</v>
      </c>
      <c r="B13" s="18">
        <f>B12</f>
        <v>-380000</v>
      </c>
      <c r="C13" s="18">
        <f t="shared" ref="C13:G13" si="4">B13+C12</f>
        <v>-963333.3333</v>
      </c>
      <c r="D13" s="18">
        <f t="shared" si="4"/>
        <v>-1150833.333</v>
      </c>
      <c r="E13" s="18">
        <f t="shared" si="4"/>
        <v>-1120740.741</v>
      </c>
      <c r="F13" s="18">
        <f t="shared" si="4"/>
        <v>-944236.1111</v>
      </c>
      <c r="G13" s="18">
        <f t="shared" si="4"/>
        <v>-622734.0535</v>
      </c>
    </row>
    <row r="14">
      <c r="A14" s="4"/>
      <c r="B14" s="4"/>
      <c r="C14" s="4"/>
      <c r="D14" s="4"/>
      <c r="E14" s="4"/>
      <c r="F14" s="4"/>
      <c r="G14" s="4"/>
    </row>
    <row r="15" ht="15.0" customHeight="1">
      <c r="A15" s="20" t="s">
        <v>39</v>
      </c>
      <c r="B15" s="23">
        <f>SUM(B12:G12)</f>
        <v>-622734.0535</v>
      </c>
      <c r="C15" s="4"/>
      <c r="D15" s="4"/>
      <c r="E15" s="4"/>
      <c r="F15" s="4"/>
      <c r="G15" s="4"/>
    </row>
    <row r="16" ht="15.0" customHeight="1">
      <c r="A16" s="20" t="s">
        <v>40</v>
      </c>
      <c r="B16" s="24">
        <f>IRR(B9:G9)</f>
        <v>-0.02747416729</v>
      </c>
      <c r="C16" s="4"/>
      <c r="D16" s="4"/>
      <c r="E16" s="4"/>
      <c r="F16" s="4"/>
      <c r="G16" s="4"/>
    </row>
    <row r="17" ht="15.0" customHeight="1">
      <c r="A17" s="20" t="s">
        <v>41</v>
      </c>
      <c r="B17" s="25" t="str">
        <f t="array" ref="B17">IF(G10&lt;0,"Não recupera",(COUNTIF(B10:G10,"&lt;0")-1)+(-INDEX(B10:G10,COUNTIF(B10:G10,"&lt;0")))/INDEX(B9:G9,COUNTIF(B10:G10,"&lt;0")+1))</f>
        <v>Não recupera</v>
      </c>
      <c r="C17" s="4"/>
      <c r="D17" s="4"/>
      <c r="E17" s="4"/>
      <c r="F17" s="4"/>
      <c r="G17" s="4"/>
    </row>
    <row r="18" ht="15.0" customHeight="1">
      <c r="A18" s="20" t="s">
        <v>42</v>
      </c>
      <c r="B18" s="25" t="str">
        <f t="array" ref="B18">IF(G13&lt;0,"Não recupera",(COUNTIF(B13:G13,"&lt;0")-1)+(-INDEX(B13:G13,COUNTIF(B13:G13,"&lt;0")))/INDEX(B12:G12,COUNTIF(B13:G13,"&lt;0")+1))</f>
        <v>Não recupera</v>
      </c>
      <c r="C18" s="4"/>
      <c r="D18" s="4"/>
      <c r="E18" s="4"/>
      <c r="F18" s="4"/>
      <c r="G18" s="4"/>
    </row>
    <row r="19" ht="15.0" customHeight="1">
      <c r="A19" s="20" t="s">
        <v>43</v>
      </c>
      <c r="B19" s="25">
        <f>SUM(C12:G12)/(-B9)</f>
        <v>-0.638773825</v>
      </c>
      <c r="C19" s="4"/>
      <c r="D19" s="4"/>
      <c r="E19" s="4"/>
      <c r="F19" s="4"/>
      <c r="G19" s="4"/>
    </row>
    <row r="20" ht="15.0" customHeight="1">
      <c r="A20" s="20" t="s">
        <v>44</v>
      </c>
      <c r="B20" s="24">
        <f>B19^(1/5)-1</f>
        <v>-1.914259375</v>
      </c>
      <c r="C20" s="4"/>
      <c r="D20" s="4"/>
      <c r="E20" s="4"/>
      <c r="F20" s="4"/>
      <c r="G20" s="4"/>
    </row>
    <row r="21" ht="15.0" customHeight="1">
      <c r="A21" s="20" t="s">
        <v>45</v>
      </c>
      <c r="B21" s="23">
        <f t="array" ref="B21">NPV(Premissas!$B$4,C9:G9)+B9</f>
        <v>-538891.105</v>
      </c>
      <c r="C21" s="4"/>
      <c r="D21" s="4"/>
      <c r="E21" s="4"/>
      <c r="F21" s="4"/>
      <c r="G21" s="4"/>
    </row>
    <row r="22" ht="15.0" customHeight="1">
      <c r="A22" s="20" t="s">
        <v>46</v>
      </c>
      <c r="B22" s="23">
        <f t="array" ref="B22">NPV(Premissas!$B$5,C9:G9)+B9</f>
        <v>-710946.18</v>
      </c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0" customHeight="1">
      <c r="A24" s="14" t="s">
        <v>47</v>
      </c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7" width="14.0"/>
    <col customWidth="1" min="8" max="26" width="8.71"/>
  </cols>
  <sheetData>
    <row r="1" ht="19.5" customHeight="1">
      <c r="A1" s="1" t="s">
        <v>49</v>
      </c>
      <c r="B1" s="2"/>
      <c r="C1" s="2"/>
      <c r="D1" s="2"/>
      <c r="E1" s="2"/>
      <c r="F1" s="2"/>
      <c r="G1" s="3"/>
    </row>
    <row r="2" ht="15.0" customHeight="1">
      <c r="A2" s="5" t="s">
        <v>27</v>
      </c>
      <c r="B2" s="15">
        <v>0.0</v>
      </c>
      <c r="C2" s="15">
        <v>1.0</v>
      </c>
      <c r="D2" s="15">
        <v>2.0</v>
      </c>
      <c r="E2" s="15">
        <v>3.0</v>
      </c>
      <c r="F2" s="15">
        <v>4.0</v>
      </c>
      <c r="G2" s="15">
        <v>5.0</v>
      </c>
    </row>
    <row r="3" ht="15.0" customHeight="1">
      <c r="A3" s="5" t="s">
        <v>28</v>
      </c>
      <c r="B3" s="16">
        <v>0.0</v>
      </c>
      <c r="C3" s="17">
        <f>Premissas!C19</f>
        <v>25000</v>
      </c>
      <c r="D3" s="17">
        <f>Premissas!D19</f>
        <v>50000</v>
      </c>
      <c r="E3" s="17">
        <f>Premissas!E19</f>
        <v>80000</v>
      </c>
      <c r="F3" s="17">
        <f>Premissas!F19</f>
        <v>115000</v>
      </c>
      <c r="G3" s="17">
        <f>Premissas!G19</f>
        <v>150000</v>
      </c>
    </row>
    <row r="4" ht="15.0" customHeight="1">
      <c r="A4" s="5" t="s">
        <v>29</v>
      </c>
      <c r="B4" s="16">
        <v>0.0</v>
      </c>
      <c r="C4" s="16">
        <v>0.0</v>
      </c>
      <c r="D4" s="16">
        <v>0.0</v>
      </c>
      <c r="E4" s="16">
        <v>0.0</v>
      </c>
      <c r="F4" s="16">
        <v>0.0</v>
      </c>
      <c r="G4" s="16">
        <v>0.0</v>
      </c>
    </row>
    <row r="5" ht="15.0" customHeight="1">
      <c r="A5" s="5" t="s">
        <v>30</v>
      </c>
      <c r="B5" s="18">
        <v>0.0</v>
      </c>
      <c r="C5" s="18">
        <f>C3*Premissas!$B$14+(Premissas!C20/Premissas!$B$7)*Premissas!$B$15</f>
        <v>1166666.667</v>
      </c>
      <c r="D5" s="18">
        <f>D3*Premissas!$B$14+(Premissas!D20/Premissas!$B$7)*Premissas!$B$15</f>
        <v>2166666.667</v>
      </c>
      <c r="E5" s="18">
        <f>E3*Premissas!$B$14+(Premissas!E20/Premissas!$B$7)*Premissas!$B$15</f>
        <v>3400000</v>
      </c>
      <c r="F5" s="18">
        <f>F3*Premissas!$B$14+(Premissas!F20/Premissas!$B$7)*Premissas!$B$15</f>
        <v>4833333.333</v>
      </c>
      <c r="G5" s="18">
        <f>G3*Premissas!$B$14+(Premissas!G20/Premissas!$B$7)*Premissas!$B$15</f>
        <v>6233333.333</v>
      </c>
    </row>
    <row r="6" ht="15.0" customHeight="1">
      <c r="A6" s="5" t="s">
        <v>31</v>
      </c>
      <c r="B6" s="18">
        <v>0.0</v>
      </c>
      <c r="C6" s="18">
        <f>C5*Premissas!$B$16</f>
        <v>350000</v>
      </c>
      <c r="D6" s="18">
        <f>D5*Premissas!$B$16</f>
        <v>650000</v>
      </c>
      <c r="E6" s="18">
        <f>E5*Premissas!$B$16</f>
        <v>1020000</v>
      </c>
      <c r="F6" s="18">
        <f>F5*Premissas!$B$16</f>
        <v>1450000</v>
      </c>
      <c r="G6" s="18">
        <f>G5*Premissas!$B$16</f>
        <v>1870000</v>
      </c>
    </row>
    <row r="7" ht="15.0" customHeight="1">
      <c r="A7" s="5" t="s">
        <v>32</v>
      </c>
      <c r="B7" s="18">
        <v>0.0</v>
      </c>
      <c r="C7" s="19">
        <f>Premissas!C21</f>
        <v>900000</v>
      </c>
      <c r="D7" s="19">
        <f>Premissas!D21</f>
        <v>1150000</v>
      </c>
      <c r="E7" s="19">
        <f>Premissas!E21</f>
        <v>1500000</v>
      </c>
      <c r="F7" s="19">
        <f>Premissas!F21</f>
        <v>1850000</v>
      </c>
      <c r="G7" s="19">
        <f>Premissas!G21</f>
        <v>2200000</v>
      </c>
    </row>
    <row r="8" ht="15.0" customHeight="1">
      <c r="A8" s="5" t="s">
        <v>33</v>
      </c>
      <c r="B8" s="19">
        <f>Premissas!$B$6</f>
        <v>380000</v>
      </c>
      <c r="C8" s="18">
        <v>0.0</v>
      </c>
      <c r="D8" s="18">
        <v>0.0</v>
      </c>
      <c r="E8" s="18">
        <v>0.0</v>
      </c>
      <c r="F8" s="18">
        <v>0.0</v>
      </c>
      <c r="G8" s="18">
        <v>0.0</v>
      </c>
    </row>
    <row r="9" ht="15.0" customHeight="1">
      <c r="A9" s="20" t="s">
        <v>34</v>
      </c>
      <c r="B9" s="21">
        <f t="shared" ref="B9:G9" si="1">B5-B6-B7-B8</f>
        <v>-380000</v>
      </c>
      <c r="C9" s="21">
        <f t="shared" si="1"/>
        <v>-83333.33333</v>
      </c>
      <c r="D9" s="21">
        <f t="shared" si="1"/>
        <v>366666.6667</v>
      </c>
      <c r="E9" s="21">
        <f t="shared" si="1"/>
        <v>880000</v>
      </c>
      <c r="F9" s="21">
        <f t="shared" si="1"/>
        <v>1533333.333</v>
      </c>
      <c r="G9" s="21">
        <f t="shared" si="1"/>
        <v>2163333.333</v>
      </c>
    </row>
    <row r="10" ht="15.0" customHeight="1">
      <c r="A10" s="5" t="s">
        <v>35</v>
      </c>
      <c r="B10" s="18">
        <f>B9</f>
        <v>-380000</v>
      </c>
      <c r="C10" s="18">
        <f t="shared" ref="C10:G10" si="2">B10+C9</f>
        <v>-463333.3333</v>
      </c>
      <c r="D10" s="18">
        <f t="shared" si="2"/>
        <v>-96666.66667</v>
      </c>
      <c r="E10" s="18">
        <f t="shared" si="2"/>
        <v>783333.3333</v>
      </c>
      <c r="F10" s="18">
        <f t="shared" si="2"/>
        <v>2316666.667</v>
      </c>
      <c r="G10" s="18">
        <f t="shared" si="2"/>
        <v>4480000</v>
      </c>
    </row>
    <row r="11" ht="15.0" customHeight="1">
      <c r="A11" s="5" t="s">
        <v>36</v>
      </c>
      <c r="B11" s="22">
        <f>1/(1+Premissas!$B$3)^B2</f>
        <v>1</v>
      </c>
      <c r="C11" s="22">
        <f>1/(1+Premissas!$B$3)^C2</f>
        <v>0.8333333333</v>
      </c>
      <c r="D11" s="22">
        <f>1/(1+Premissas!$B$3)^D2</f>
        <v>0.6944444444</v>
      </c>
      <c r="E11" s="22">
        <f>1/(1+Premissas!$B$3)^E2</f>
        <v>0.5787037037</v>
      </c>
      <c r="F11" s="22">
        <f>1/(1+Premissas!$B$3)^F2</f>
        <v>0.4822530864</v>
      </c>
      <c r="G11" s="22">
        <f>1/(1+Premissas!$B$3)^G2</f>
        <v>0.401877572</v>
      </c>
    </row>
    <row r="12" ht="15.0" customHeight="1">
      <c r="A12" s="5" t="s">
        <v>37</v>
      </c>
      <c r="B12" s="18">
        <f t="shared" ref="B12:G12" si="3">B9*B11</f>
        <v>-380000</v>
      </c>
      <c r="C12" s="18">
        <f t="shared" si="3"/>
        <v>-69444.44444</v>
      </c>
      <c r="D12" s="18">
        <f t="shared" si="3"/>
        <v>254629.6296</v>
      </c>
      <c r="E12" s="18">
        <f t="shared" si="3"/>
        <v>509259.2593</v>
      </c>
      <c r="F12" s="18">
        <f t="shared" si="3"/>
        <v>739454.7325</v>
      </c>
      <c r="G12" s="18">
        <f t="shared" si="3"/>
        <v>869395.1475</v>
      </c>
    </row>
    <row r="13" ht="15.0" customHeight="1">
      <c r="A13" s="5" t="s">
        <v>38</v>
      </c>
      <c r="B13" s="18">
        <f>B12</f>
        <v>-380000</v>
      </c>
      <c r="C13" s="18">
        <f t="shared" ref="C13:G13" si="4">B13+C12</f>
        <v>-449444.4444</v>
      </c>
      <c r="D13" s="18">
        <f t="shared" si="4"/>
        <v>-194814.8148</v>
      </c>
      <c r="E13" s="18">
        <f t="shared" si="4"/>
        <v>314444.4444</v>
      </c>
      <c r="F13" s="18">
        <f t="shared" si="4"/>
        <v>1053899.177</v>
      </c>
      <c r="G13" s="18">
        <f t="shared" si="4"/>
        <v>1923294.324</v>
      </c>
    </row>
    <row r="14">
      <c r="A14" s="4"/>
      <c r="B14" s="4"/>
      <c r="C14" s="4"/>
      <c r="D14" s="4"/>
      <c r="E14" s="4"/>
      <c r="F14" s="4"/>
      <c r="G14" s="4"/>
    </row>
    <row r="15" ht="15.0" customHeight="1">
      <c r="A15" s="20" t="s">
        <v>39</v>
      </c>
      <c r="B15" s="23">
        <f>SUM(B12:G12)</f>
        <v>1923294.324</v>
      </c>
      <c r="C15" s="4"/>
      <c r="D15" s="4"/>
      <c r="E15" s="4"/>
      <c r="F15" s="4"/>
      <c r="G15" s="4"/>
    </row>
    <row r="16" ht="15.0" customHeight="1">
      <c r="A16" s="20" t="s">
        <v>40</v>
      </c>
      <c r="B16" s="24">
        <f>IRR(B9:G9)</f>
        <v>0.9147157643</v>
      </c>
      <c r="C16" s="4"/>
      <c r="D16" s="4"/>
      <c r="E16" s="4"/>
      <c r="F16" s="4"/>
      <c r="G16" s="4"/>
    </row>
    <row r="17" ht="15.0" customHeight="1">
      <c r="A17" s="20" t="s">
        <v>41</v>
      </c>
      <c r="B17" s="25">
        <f t="array" ref="B17">IF(G10&lt;0,"Não recupera",(COUNTIF(B10:G10,"&lt;0")-1)+(-INDEX(B10:G10,COUNTIF(B10:G10,"&lt;0")))/INDEX(B9:G9,COUNTIF(B10:G10,"&lt;0")+1))</f>
        <v>2.109848485</v>
      </c>
      <c r="C17" s="4"/>
      <c r="D17" s="4"/>
      <c r="E17" s="4"/>
      <c r="F17" s="4"/>
      <c r="G17" s="4"/>
    </row>
    <row r="18" ht="15.0" customHeight="1">
      <c r="A18" s="20" t="s">
        <v>42</v>
      </c>
      <c r="B18" s="25">
        <f t="array" ref="B18">IF(G13&lt;0,"Não recupera",(COUNTIF(B13:G13,"&lt;0")-1)+(-INDEX(B13:G13,COUNTIF(B13:G13,"&lt;0")))/INDEX(B12:G12,COUNTIF(B13:G13,"&lt;0")+1))</f>
        <v>2.382545455</v>
      </c>
      <c r="C18" s="4"/>
      <c r="D18" s="4"/>
      <c r="E18" s="4"/>
      <c r="F18" s="4"/>
      <c r="G18" s="4"/>
    </row>
    <row r="19" ht="15.0" customHeight="1">
      <c r="A19" s="20" t="s">
        <v>43</v>
      </c>
      <c r="B19" s="25">
        <f>SUM(C12:G12)/(-B9)</f>
        <v>6.061300854</v>
      </c>
      <c r="C19" s="4"/>
      <c r="D19" s="4"/>
      <c r="E19" s="4"/>
      <c r="F19" s="4"/>
      <c r="G19" s="4"/>
    </row>
    <row r="20" ht="15.0" customHeight="1">
      <c r="A20" s="20" t="s">
        <v>44</v>
      </c>
      <c r="B20" s="24">
        <f>B19^(1/5)-1</f>
        <v>0.4338811919</v>
      </c>
      <c r="C20" s="4"/>
      <c r="D20" s="4"/>
      <c r="E20" s="4"/>
      <c r="F20" s="4"/>
      <c r="G20" s="4"/>
    </row>
    <row r="21" ht="15.0" customHeight="1">
      <c r="A21" s="20" t="s">
        <v>45</v>
      </c>
      <c r="B21" s="23">
        <f t="array" ref="B21">NPV(Premissas!$B$4,C9:G9)+B9</f>
        <v>2429314.131</v>
      </c>
      <c r="C21" s="4"/>
      <c r="D21" s="4"/>
      <c r="E21" s="4"/>
      <c r="F21" s="4"/>
      <c r="G21" s="4"/>
    </row>
    <row r="22" ht="15.0" customHeight="1">
      <c r="A22" s="20" t="s">
        <v>46</v>
      </c>
      <c r="B22" s="23">
        <f t="array" ref="B22">NPV(Premissas!$B$5,C9:G9)+B9</f>
        <v>1292917.346</v>
      </c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0" customHeight="1">
      <c r="A24" s="14" t="s">
        <v>47</v>
      </c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22.0"/>
    <col customWidth="1" min="5" max="26" width="8.71"/>
  </cols>
  <sheetData>
    <row r="1" ht="19.5" customHeight="1">
      <c r="A1" s="1" t="s">
        <v>50</v>
      </c>
      <c r="B1" s="2"/>
      <c r="C1" s="2"/>
      <c r="D1" s="3"/>
    </row>
    <row r="2">
      <c r="A2" s="4"/>
      <c r="B2" s="4"/>
      <c r="C2" s="4"/>
      <c r="D2" s="4"/>
    </row>
    <row r="3" ht="26.25" customHeight="1">
      <c r="A3" s="26" t="s">
        <v>51</v>
      </c>
      <c r="B3" s="26" t="s">
        <v>52</v>
      </c>
      <c r="C3" s="26" t="s">
        <v>53</v>
      </c>
      <c r="D3" s="26" t="s">
        <v>54</v>
      </c>
    </row>
    <row r="4" ht="15.0" customHeight="1">
      <c r="A4" s="20" t="s">
        <v>55</v>
      </c>
      <c r="B4" s="19">
        <f>-'Modelo A — SaaS'!B9</f>
        <v>380000</v>
      </c>
      <c r="C4" s="19">
        <f>-'Modelo B — DaaS'!B9</f>
        <v>380000</v>
      </c>
      <c r="D4" s="19">
        <f>-'Modelo C — Híbrido'!B9</f>
        <v>380000</v>
      </c>
    </row>
    <row r="5" ht="15.0" customHeight="1">
      <c r="A5" s="20" t="s">
        <v>56</v>
      </c>
      <c r="B5" s="27">
        <f>'Modelo A — SaaS'!B15</f>
        <v>1519627.058</v>
      </c>
      <c r="C5" s="27">
        <f>'Modelo B — DaaS'!B15</f>
        <v>-622734.0535</v>
      </c>
      <c r="D5" s="27">
        <f>'Modelo C — Híbrido'!B15</f>
        <v>1923294.324</v>
      </c>
    </row>
    <row r="6" ht="15.0" customHeight="1">
      <c r="A6" s="20" t="s">
        <v>57</v>
      </c>
      <c r="B6" s="19">
        <f>'Modelo A — SaaS'!B21</f>
        <v>1964174.151</v>
      </c>
      <c r="C6" s="19">
        <f>'Modelo B — DaaS'!B21</f>
        <v>-538891.105</v>
      </c>
      <c r="D6" s="19">
        <f>'Modelo C — Híbrido'!B21</f>
        <v>2429314.131</v>
      </c>
    </row>
    <row r="7" ht="15.0" customHeight="1">
      <c r="A7" s="20" t="s">
        <v>58</v>
      </c>
      <c r="B7" s="19">
        <f>'Modelo A — SaaS'!B22</f>
        <v>969239.0107</v>
      </c>
      <c r="C7" s="19">
        <f>'Modelo B — DaaS'!B22</f>
        <v>-710946.18</v>
      </c>
      <c r="D7" s="19">
        <f>'Modelo C — Híbrido'!B22</f>
        <v>1292917.346</v>
      </c>
    </row>
    <row r="8" ht="15.0" customHeight="1">
      <c r="A8" s="20" t="s">
        <v>40</v>
      </c>
      <c r="B8" s="28">
        <f>'Modelo A — SaaS'!B16</f>
        <v>0.743046356</v>
      </c>
      <c r="C8" s="28">
        <f>'Modelo B — DaaS'!B16</f>
        <v>-0.02747416729</v>
      </c>
      <c r="D8" s="28">
        <f>'Modelo C — Híbrido'!B16</f>
        <v>0.9147157643</v>
      </c>
    </row>
    <row r="9" ht="15.0" customHeight="1">
      <c r="A9" s="20" t="s">
        <v>41</v>
      </c>
      <c r="B9" s="22">
        <f>'Modelo A — SaaS'!B17</f>
        <v>2.445945946</v>
      </c>
      <c r="C9" s="22" t="str">
        <f>'Modelo B — DaaS'!B17</f>
        <v>Não recupera</v>
      </c>
      <c r="D9" s="22">
        <f>'Modelo C — Híbrido'!B17</f>
        <v>2.109848485</v>
      </c>
    </row>
    <row r="10" ht="15.0" customHeight="1">
      <c r="A10" s="20" t="s">
        <v>42</v>
      </c>
      <c r="B10" s="22">
        <f>'Modelo A — SaaS'!B18</f>
        <v>2.871135135</v>
      </c>
      <c r="C10" s="22" t="str">
        <f>'Modelo B — DaaS'!B18</f>
        <v>Não recupera</v>
      </c>
      <c r="D10" s="22">
        <f>'Modelo C — Híbrido'!B18</f>
        <v>2.382545455</v>
      </c>
    </row>
    <row r="11" ht="15.0" customHeight="1">
      <c r="A11" s="20" t="s">
        <v>59</v>
      </c>
      <c r="B11" s="22">
        <f>'Modelo A — SaaS'!B19</f>
        <v>4.999018573</v>
      </c>
      <c r="C11" s="22">
        <f>'Modelo B — DaaS'!B19</f>
        <v>-0.638773825</v>
      </c>
      <c r="D11" s="22">
        <f>'Modelo C — Híbrido'!B19</f>
        <v>6.061300854</v>
      </c>
    </row>
    <row r="12" ht="15.0" customHeight="1">
      <c r="A12" s="20" t="s">
        <v>44</v>
      </c>
      <c r="B12" s="28">
        <f>'Modelo A — SaaS'!B20</f>
        <v>0.379675493</v>
      </c>
      <c r="C12" s="28">
        <f>'Modelo B — DaaS'!B20</f>
        <v>-1.914259375</v>
      </c>
      <c r="D12" s="28">
        <f>'Modelo C — Híbrido'!B20</f>
        <v>0.4338811919</v>
      </c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 ht="15.0" customHeight="1">
      <c r="A15" s="29" t="s">
        <v>60</v>
      </c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2">
    <mergeCell ref="A1:D1"/>
    <mergeCell ref="A15:D15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4" width="16.0"/>
    <col customWidth="1" min="5" max="26" width="8.71"/>
  </cols>
  <sheetData>
    <row r="1" ht="19.5" customHeight="1">
      <c r="A1" s="1" t="s">
        <v>61</v>
      </c>
      <c r="B1" s="2"/>
      <c r="C1" s="2"/>
      <c r="D1" s="3"/>
    </row>
    <row r="2">
      <c r="A2" s="4"/>
      <c r="B2" s="4"/>
      <c r="C2" s="4"/>
      <c r="D2" s="4"/>
    </row>
    <row r="3" ht="15.0" customHeight="1">
      <c r="A3" s="12" t="s">
        <v>62</v>
      </c>
      <c r="B3" s="13" t="s">
        <v>63</v>
      </c>
      <c r="C3" s="13" t="s">
        <v>64</v>
      </c>
      <c r="D3" s="13" t="s">
        <v>65</v>
      </c>
    </row>
    <row r="4" ht="15.0" customHeight="1">
      <c r="A4" s="5" t="s">
        <v>66</v>
      </c>
      <c r="B4" s="30">
        <v>0.6</v>
      </c>
      <c r="C4" s="30">
        <v>1.0</v>
      </c>
      <c r="D4" s="30">
        <v>1.25</v>
      </c>
    </row>
    <row r="5" ht="15.0" customHeight="1">
      <c r="A5" s="5" t="s">
        <v>67</v>
      </c>
      <c r="B5" s="30">
        <v>0.85</v>
      </c>
      <c r="C5" s="30">
        <v>1.0</v>
      </c>
      <c r="D5" s="30">
        <v>1.1</v>
      </c>
    </row>
    <row r="6" ht="15.0" customHeight="1">
      <c r="A6" s="5" t="s">
        <v>68</v>
      </c>
      <c r="B6" s="30">
        <v>0.8</v>
      </c>
      <c r="C6" s="30">
        <v>1.0</v>
      </c>
      <c r="D6" s="30">
        <v>1.05</v>
      </c>
    </row>
    <row r="7">
      <c r="A7" s="4"/>
      <c r="B7" s="4"/>
      <c r="C7" s="4"/>
      <c r="D7" s="4"/>
    </row>
    <row r="8" ht="15.0" customHeight="1">
      <c r="A8" s="20" t="s">
        <v>69</v>
      </c>
      <c r="B8" s="4"/>
      <c r="C8" s="4"/>
      <c r="D8" s="4"/>
    </row>
    <row r="9" ht="15.0" customHeight="1">
      <c r="A9" s="4" t="s">
        <v>70</v>
      </c>
      <c r="B9" s="19">
        <f>-Premissas!$B$6</f>
        <v>-380000</v>
      </c>
      <c r="C9" s="19">
        <f>-Premissas!$B$6</f>
        <v>-380000</v>
      </c>
      <c r="D9" s="19">
        <f>-Premissas!$B$6</f>
        <v>-380000</v>
      </c>
    </row>
    <row r="10" ht="15.0" customHeight="1">
      <c r="A10" s="4" t="s">
        <v>16</v>
      </c>
      <c r="B10" s="18">
        <f>((Premissas!$C$19*B$4*Premissas!$B$14*B$5)+((Premissas!$C$20*B$4/Premissas!$B$7)*Premissas!$B$15))*(1-Premissas!$B$16)-Premissas!$C$21*B$6</f>
        <v>-293000</v>
      </c>
      <c r="C10" s="18">
        <f>((Premissas!$C$19*C$4*Premissas!$B$14*C$5)+((Premissas!$C$20*C$4/Premissas!$B$7)*Premissas!$B$15))*(1-Premissas!$B$16)-Premissas!$C$21*C$6</f>
        <v>-83333.33333</v>
      </c>
      <c r="D10" s="18">
        <f>((Premissas!$C$19*D$4*Premissas!$B$14*D$5)+((Premissas!$C$20*D$4/Premissas!$B$7)*Premissas!$B$15))*(1-Premissas!$B$16)-Premissas!$C$21*D$6</f>
        <v>163333.3333</v>
      </c>
    </row>
    <row r="11" ht="15.0" customHeight="1">
      <c r="A11" s="4" t="s">
        <v>17</v>
      </c>
      <c r="B11" s="18">
        <f>((Premissas!$D$19*B$4*Premissas!$B$14*B$5)+((Premissas!$D$20*B$4/Premissas!$B$7)*Premissas!$B$15))*(1-Premissas!$B$16)-Premissas!$D$21*B$6</f>
        <v>-136000</v>
      </c>
      <c r="C11" s="18">
        <f>((Premissas!$D$19*C$4*Premissas!$B$14*C$5)+((Premissas!$D$20*C$4/Premissas!$B$7)*Premissas!$B$15))*(1-Premissas!$B$16)-Premissas!$D$21*C$6</f>
        <v>366666.6667</v>
      </c>
      <c r="D11" s="18">
        <f>((Premissas!$D$19*D$4*Premissas!$B$14*D$5)+((Premissas!$D$20*D$4/Premissas!$B$7)*Premissas!$B$15))*(1-Premissas!$B$16)-Premissas!$D$21*D$6</f>
        <v>863333.3333</v>
      </c>
    </row>
    <row r="12" ht="15.0" customHeight="1">
      <c r="A12" s="4" t="s">
        <v>18</v>
      </c>
      <c r="B12" s="18">
        <f>((Premissas!$E$19*B$4*Premissas!$B$14*B$5)+((Premissas!$E$20*B$4/Premissas!$B$7)*Premissas!$B$15))*(1-Premissas!$B$16)-Premissas!$E$21*B$6</f>
        <v>26400</v>
      </c>
      <c r="C12" s="18">
        <f>((Premissas!$E$19*C$4*Premissas!$B$14*C$5)+((Premissas!$E$20*C$4/Premissas!$B$7)*Premissas!$B$15))*(1-Premissas!$B$16)-Premissas!$E$21*C$6</f>
        <v>880000</v>
      </c>
      <c r="D12" s="18">
        <f>((Premissas!$E$19*D$4*Premissas!$B$14*D$5)+((Premissas!$E$20*D$4/Premissas!$B$7)*Premissas!$B$15))*(1-Premissas!$B$16)-Premissas!$E$21*D$6</f>
        <v>1680000</v>
      </c>
    </row>
    <row r="13" ht="15.0" customHeight="1">
      <c r="A13" s="4" t="s">
        <v>19</v>
      </c>
      <c r="B13" s="18">
        <f>((Premissas!$F$19*B$4*Premissas!$B$14*B$5)+((Premissas!$F$20*B$4/Premissas!$B$7)*Premissas!$B$15))*(1-Premissas!$B$16)-Premissas!$F$21*B$6</f>
        <v>260200</v>
      </c>
      <c r="C13" s="18">
        <f>((Premissas!$F$19*C$4*Premissas!$B$14*C$5)+((Premissas!$F$20*C$4/Premissas!$B$7)*Premissas!$B$15))*(1-Premissas!$B$16)-Premissas!$F$21*C$6</f>
        <v>1533333.333</v>
      </c>
      <c r="D13" s="18">
        <f>((Premissas!$F$19*D$4*Premissas!$B$14*D$5)+((Premissas!$F$20*D$4/Premissas!$B$7)*Premissas!$B$15))*(1-Premissas!$B$16)-Premissas!$F$21*D$6</f>
        <v>2689166.667</v>
      </c>
    </row>
    <row r="14" ht="15.0" customHeight="1">
      <c r="A14" s="4" t="s">
        <v>20</v>
      </c>
      <c r="B14" s="18">
        <f>((Premissas!$G$19*B$4*Premissas!$B$14*B$5)+((Premissas!$G$20*B$4/Premissas!$B$7)*Premissas!$B$15))*(1-Premissas!$B$16)-Premissas!$G$21*B$6</f>
        <v>480000</v>
      </c>
      <c r="C14" s="18">
        <f>((Premissas!$G$19*C$4*Premissas!$B$14*C$5)+((Premissas!$G$20*C$4/Premissas!$B$7)*Premissas!$B$15))*(1-Premissas!$B$16)-Premissas!$G$21*C$6</f>
        <v>2163333.333</v>
      </c>
      <c r="D14" s="18">
        <f>((Premissas!$G$19*D$4*Premissas!$B$14*D$5)+((Premissas!$G$20*D$4/Premissas!$B$7)*Premissas!$B$15))*(1-Premissas!$B$16)-Premissas!$G$21*D$6</f>
        <v>3669166.667</v>
      </c>
    </row>
    <row r="15">
      <c r="A15" s="4"/>
      <c r="B15" s="4"/>
      <c r="C15" s="4"/>
      <c r="D15" s="4"/>
    </row>
    <row r="16" ht="15.0" customHeight="1">
      <c r="A16" s="20" t="s">
        <v>71</v>
      </c>
      <c r="B16" s="23">
        <f t="array" ref="B16">NPV(Premissas!$B$3,B10:B14)+B9</f>
        <v>-384949.8457</v>
      </c>
      <c r="C16" s="23">
        <f t="array" ref="C16">NPV(Premissas!$B$3,C10:C14)+C9</f>
        <v>1923294.324</v>
      </c>
      <c r="D16" s="23">
        <f t="array" ref="D16">NPV(Premissas!$B$3,D10:D14)+D9</f>
        <v>4099285.087</v>
      </c>
    </row>
    <row r="17" ht="15.0" customHeight="1">
      <c r="A17" s="20" t="s">
        <v>45</v>
      </c>
      <c r="B17" s="18">
        <f t="array" ref="B17">NPV(Premissas!$B$4,B10:B14)+B9</f>
        <v>-323646.1233</v>
      </c>
      <c r="C17" s="18">
        <f t="array" ref="C17">NPV(Premissas!$B$4,C10:C14)+C9</f>
        <v>2429314.131</v>
      </c>
      <c r="D17" s="18">
        <f t="array" ref="D17">NPV(Premissas!$B$4,D10:D14)+D9</f>
        <v>5014092.541</v>
      </c>
    </row>
    <row r="18" ht="15.0" customHeight="1">
      <c r="A18" s="20" t="s">
        <v>46</v>
      </c>
      <c r="B18" s="18">
        <f t="array" ref="B18">NPV(Premissas!$B$5,B10:B14)+B9</f>
        <v>-453460.3938</v>
      </c>
      <c r="C18" s="18">
        <f t="array" ref="C18">NPV(Premissas!$B$5,C10:C14)+C9</f>
        <v>1292917.346</v>
      </c>
      <c r="D18" s="18">
        <f t="array" ref="D18">NPV(Premissas!$B$5,D10:D14)+D9</f>
        <v>2950933.522</v>
      </c>
    </row>
    <row r="19" ht="15.0" customHeight="1">
      <c r="A19" s="20" t="s">
        <v>40</v>
      </c>
      <c r="B19" s="31">
        <f t="shared" ref="B19:D19" si="1">IRR(B9:B14)</f>
        <v>-0.01373786173</v>
      </c>
      <c r="C19" s="31">
        <f t="shared" si="1"/>
        <v>0.9147157643</v>
      </c>
      <c r="D19" s="31">
        <f t="shared" si="1"/>
        <v>1.589236823</v>
      </c>
    </row>
    <row r="20" ht="15.0" customHeight="1">
      <c r="A20" s="20" t="s">
        <v>72</v>
      </c>
      <c r="B20" s="4" t="str">
        <f t="shared" ref="B20:D20" si="2">IF(B16&gt;0,"Sim","Não")</f>
        <v>Não</v>
      </c>
      <c r="C20" s="4" t="str">
        <f t="shared" si="2"/>
        <v>Sim</v>
      </c>
      <c r="D20" s="4" t="str">
        <f t="shared" si="2"/>
        <v>Sim</v>
      </c>
    </row>
    <row r="21" ht="15.75" customHeight="1">
      <c r="A21" s="4"/>
      <c r="B21" s="4"/>
      <c r="C21" s="4"/>
      <c r="D21" s="4"/>
    </row>
    <row r="22" ht="15.0" customHeight="1">
      <c r="A22" s="29" t="s">
        <v>73</v>
      </c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2">
    <mergeCell ref="A1:D1"/>
    <mergeCell ref="A22:D22"/>
  </mergeCells>
  <printOptions/>
  <pageMargins bottom="1.0" footer="0.0" header="0.0" left="0.75" right="0.75" top="1.0"/>
  <pageSetup paperSize="9" orientation="portrait"/>
  <drawing r:id="rId1"/>
</worksheet>
</file>